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Cover_Boundary" sheetId="2" state="visible" r:id="rId2"/>
    <sheet name="DB_Master" sheetId="3" state="visible" r:id="rId3"/>
    <sheet name="GHG_Calculator" sheetId="4" state="visible" r:id="rId4"/>
    <sheet name="Data_Quality_Scoring" sheetId="5" state="visible" r:id="rId5"/>
    <sheet name="Materiality_Screening" sheetId="6" state="visible" r:id="rId6"/>
    <sheet name="Scope3_Hard_Categories" sheetId="7" state="visible" r:id="rId7"/>
    <sheet name="_chart_data" sheetId="8" state="hidden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.5"/>
    </font>
    <font>
      <name val="Arial"/>
      <charset val="1"/>
      <family val="0"/>
      <b val="1"/>
      <color rgb="FF1F4E3D"/>
      <sz val="2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1F4E3D"/>
      <sz val="14"/>
    </font>
    <font>
      <name val="Arial"/>
      <charset val="1"/>
      <family val="0"/>
      <b val="1"/>
      <color rgb="FFC0392B"/>
      <sz val="12"/>
    </font>
    <font>
      <name val="Arial"/>
      <charset val="1"/>
      <family val="0"/>
      <b val="1"/>
      <sz val="9"/>
    </font>
    <font>
      <name val="Arial"/>
      <charset val="1"/>
      <family val="0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i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C0392B"/>
      <sz val="9"/>
    </font>
    <font>
      <name val="Arial"/>
      <charset val="1"/>
      <family val="0"/>
      <b val="1"/>
      <sz val="11"/>
    </font>
    <font>
      <b val="1"/>
      <color rgb="00000000"/>
      <sz val="11"/>
    </font>
    <font>
      <color rgb="00333333"/>
      <sz val="9"/>
    </font>
    <font>
      <b val="1"/>
      <color rgb="00FFFFFF"/>
      <sz val="14"/>
    </font>
    <font>
      <i val="1"/>
      <color rgb="00333333"/>
      <sz val="9"/>
    </font>
    <font>
      <b val="1"/>
      <color rgb="00FFFFFF"/>
      <sz val="9"/>
    </font>
    <font>
      <b val="1"/>
      <color rgb="00000000"/>
      <sz val="9"/>
    </font>
    <font>
      <color rgb="00333333"/>
      <sz val="8"/>
    </font>
    <font>
      <b val="1"/>
      <color rgb="00FFFFFF"/>
      <sz val="10"/>
    </font>
    <font>
      <color rgb="00000000"/>
      <sz val="9"/>
    </font>
    <font>
      <color rgb="00000000"/>
      <sz val="10"/>
    </font>
    <font>
      <i val="1"/>
      <color rgb="007B3F00"/>
      <sz val="9"/>
    </font>
    <font>
      <i val="1"/>
      <color rgb="00555555"/>
      <sz val="8"/>
    </font>
    <font>
      <b val="1"/>
      <color rgb="00000000"/>
      <sz val="10"/>
    </font>
    <font>
      <b val="1"/>
      <color rgb="00FFFFFF"/>
      <sz val="12"/>
    </font>
    <font>
      <color rgb="009C0006"/>
      <sz val="9"/>
    </font>
    <font>
      <b val="1"/>
      <color rgb="00FFFFFF"/>
      <sz val="11"/>
    </font>
    <font>
      <i val="1"/>
      <color rgb="00595959"/>
      <sz val="9"/>
    </font>
    <font>
      <name val="Arial"/>
      <sz val="10"/>
    </font>
    <font>
      <name val="Arial"/>
      <b val="1"/>
      <i val="1"/>
      <color rgb="001F4E3D"/>
      <sz val="10"/>
    </font>
  </fonts>
  <fills count="23">
    <fill>
      <patternFill/>
    </fill>
    <fill>
      <patternFill patternType="gray125"/>
    </fill>
    <fill>
      <patternFill patternType="solid">
        <fgColor rgb="FFDCE9E4"/>
        <bgColor rgb="FFD9D9D9"/>
      </patternFill>
    </fill>
    <fill>
      <patternFill patternType="solid">
        <fgColor rgb="FF1F4E3D"/>
        <bgColor rgb="FF003366"/>
      </patternFill>
    </fill>
    <fill>
      <patternFill patternType="solid">
        <fgColor rgb="FFEAF7EE"/>
        <bgColor rgb="FFFDEDEC"/>
      </patternFill>
    </fill>
    <fill>
      <patternFill patternType="solid">
        <fgColor rgb="FFFDEDEC"/>
        <bgColor rgb="FFFFF9DB"/>
      </patternFill>
    </fill>
    <fill>
      <patternFill patternType="solid">
        <fgColor rgb="FFFFF9DB"/>
        <bgColor rgb="FFFDEDEC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DAEEF3"/>
      </patternFill>
    </fill>
    <fill>
      <patternFill patternType="solid">
        <fgColor rgb="00FFFFCC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1A527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B4F72"/>
      </patternFill>
    </fill>
    <fill>
      <patternFill patternType="solid">
        <fgColor rgb="00154360"/>
      </patternFill>
    </fill>
    <fill>
      <patternFill patternType="solid">
        <fgColor rgb="00EAF2FF"/>
      </patternFill>
    </fill>
    <fill>
      <patternFill patternType="solid">
        <fgColor rgb="00F9F9F9"/>
      </patternFill>
    </fill>
    <fill>
      <patternFill patternType="solid">
        <fgColor rgb="00DCE9E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17" fillId="3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9" fillId="6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19" fillId="6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9" fillId="6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35" fillId="8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25" fillId="9" borderId="2" applyAlignment="1" pivotButton="0" quotePrefix="0" xfId="0">
      <alignment horizontal="left" vertical="top" wrapText="1"/>
    </xf>
    <xf numFmtId="0" fontId="31" fillId="20" borderId="2" applyAlignment="1" pivotButton="0" quotePrefix="0" xfId="0">
      <alignment horizontal="left" vertical="top" wrapText="1"/>
    </xf>
    <xf numFmtId="2" fontId="34" fillId="0" borderId="2" applyAlignment="1" pivotButton="0" quotePrefix="0" xfId="0">
      <alignment horizontal="center" vertical="center" wrapText="1"/>
    </xf>
    <xf numFmtId="0" fontId="22" fillId="9" borderId="2" applyAlignment="1" pivotButton="0" quotePrefix="0" xfId="0">
      <alignment horizontal="left" vertical="top" wrapText="1"/>
    </xf>
    <xf numFmtId="2" fontId="22" fillId="0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left" vertical="center" wrapText="1"/>
    </xf>
    <xf numFmtId="0" fontId="38" fillId="21" borderId="2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center" wrapText="1"/>
    </xf>
    <xf numFmtId="0" fontId="22" fillId="7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23" fillId="0" borderId="2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27" fillId="3" borderId="0" applyAlignment="1" pivotButton="0" quotePrefix="0" xfId="0">
      <alignment horizontal="center" wrapText="1"/>
    </xf>
    <xf numFmtId="0" fontId="6" fillId="2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9" fillId="6" borderId="1" applyAlignment="1" pivotButton="0" quotePrefix="0" xfId="0">
      <alignment horizontal="general" vertical="bottom"/>
    </xf>
    <xf numFmtId="0" fontId="30" fillId="6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4" fillId="8" borderId="2" applyAlignment="1" pivotButton="0" quotePrefix="0" xfId="0">
      <alignment horizontal="left" vertical="top" wrapText="1"/>
    </xf>
    <xf numFmtId="0" fontId="26" fillId="10" borderId="2" applyAlignment="1" pivotButton="0" quotePrefix="0" xfId="0">
      <alignment horizontal="center" vertical="center" wrapText="1"/>
    </xf>
    <xf numFmtId="0" fontId="27" fillId="7" borderId="2" applyAlignment="1" pivotButton="0" quotePrefix="0" xfId="0">
      <alignment horizontal="left" vertical="top" wrapText="1"/>
    </xf>
    <xf numFmtId="0" fontId="28" fillId="7" borderId="2" applyAlignment="1" pivotButton="0" quotePrefix="0" xfId="0">
      <alignment horizontal="left" vertical="top" wrapText="1"/>
    </xf>
    <xf numFmtId="0" fontId="27" fillId="11" borderId="2" applyAlignment="1" pivotButton="0" quotePrefix="0" xfId="0">
      <alignment horizontal="left" vertical="top" wrapText="1"/>
    </xf>
    <xf numFmtId="0" fontId="28" fillId="11" borderId="2" applyAlignment="1" pivotButton="0" quotePrefix="0" xfId="0">
      <alignment horizontal="left" vertical="top" wrapText="1"/>
    </xf>
    <xf numFmtId="0" fontId="27" fillId="12" borderId="2" applyAlignment="1" pivotButton="0" quotePrefix="0" xfId="0">
      <alignment horizontal="left" vertical="top" wrapText="1"/>
    </xf>
    <xf numFmtId="0" fontId="28" fillId="12" borderId="2" applyAlignment="1" pivotButton="0" quotePrefix="0" xfId="0">
      <alignment horizontal="left" vertical="top" wrapText="1"/>
    </xf>
    <xf numFmtId="0" fontId="27" fillId="13" borderId="2" applyAlignment="1" pivotButton="0" quotePrefix="0" xfId="0">
      <alignment horizontal="left" vertical="top" wrapText="1"/>
    </xf>
    <xf numFmtId="0" fontId="28" fillId="13" borderId="2" applyAlignment="1" pivotButton="0" quotePrefix="0" xfId="0">
      <alignment horizontal="left" vertical="top" wrapText="1"/>
    </xf>
    <xf numFmtId="0" fontId="27" fillId="14" borderId="2" applyAlignment="1" pivotButton="0" quotePrefix="0" xfId="0">
      <alignment horizontal="left" vertical="top" wrapText="1"/>
    </xf>
    <xf numFmtId="0" fontId="28" fillId="14" borderId="2" applyAlignment="1" pivotButton="0" quotePrefix="0" xfId="0">
      <alignment horizontal="left" vertical="top" wrapText="1"/>
    </xf>
    <xf numFmtId="0" fontId="29" fillId="15" borderId="2" applyAlignment="1" pivotButton="0" quotePrefix="0" xfId="0">
      <alignment horizontal="left" vertical="top" wrapText="1"/>
    </xf>
    <xf numFmtId="0" fontId="30" fillId="16" borderId="2" applyAlignment="1" pivotButton="0" quotePrefix="0" xfId="0">
      <alignment horizontal="left" vertical="top" wrapText="1"/>
    </xf>
    <xf numFmtId="0" fontId="30" fillId="16" borderId="2" applyAlignment="1" pivotButton="0" quotePrefix="0" xfId="0">
      <alignment horizontal="center" vertical="center" wrapText="1"/>
    </xf>
    <xf numFmtId="1" fontId="31" fillId="17" borderId="2" applyAlignment="1" pivotButton="0" quotePrefix="0" xfId="0">
      <alignment horizontal="center" vertical="center" wrapText="1"/>
    </xf>
    <xf numFmtId="2" fontId="31" fillId="0" borderId="2" applyAlignment="1" pivotButton="0" quotePrefix="0" xfId="0">
      <alignment horizontal="center" vertical="center" wrapText="1"/>
    </xf>
    <xf numFmtId="0" fontId="29" fillId="18" borderId="2" applyAlignment="1" pivotButton="0" quotePrefix="0" xfId="0">
      <alignment horizontal="left" vertical="top" wrapText="1"/>
    </xf>
    <xf numFmtId="0" fontId="29" fillId="19" borderId="2" applyAlignment="1" pivotButton="0" quotePrefix="0" xfId="0">
      <alignment horizontal="left" vertical="top" wrapText="1"/>
    </xf>
    <xf numFmtId="0" fontId="32" fillId="13" borderId="2" applyAlignment="1" pivotButton="0" quotePrefix="0" xfId="0">
      <alignment horizontal="left" vertical="top" wrapText="1"/>
    </xf>
    <xf numFmtId="0" fontId="30" fillId="13" borderId="2" applyAlignment="1" pivotButton="0" quotePrefix="0" xfId="0">
      <alignment horizontal="center" vertical="center" wrapText="1"/>
    </xf>
    <xf numFmtId="1" fontId="31" fillId="13" borderId="2" applyAlignment="1" pivotButton="0" quotePrefix="0" xfId="0">
      <alignment horizontal="center" vertical="center" wrapText="1"/>
    </xf>
    <xf numFmtId="0" fontId="30" fillId="20" borderId="2" applyAlignment="1" pivotButton="0" quotePrefix="0" xfId="0">
      <alignment horizontal="left" vertical="top" wrapText="1"/>
    </xf>
    <xf numFmtId="0" fontId="33" fillId="20" borderId="2" applyAlignment="1" pivotButton="0" quotePrefix="0" xfId="0">
      <alignment horizontal="left" vertical="top" wrapText="1"/>
    </xf>
    <xf numFmtId="0" fontId="31" fillId="17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29" fillId="8" borderId="2" applyAlignment="1" pivotButton="0" quotePrefix="0" xfId="0">
      <alignment horizontal="left" vertical="top" wrapText="1"/>
    </xf>
    <xf numFmtId="0" fontId="34" fillId="9" borderId="2" applyAlignment="1" pivotButton="0" quotePrefix="0" xfId="0">
      <alignment horizontal="left" vertical="top" wrapText="1"/>
    </xf>
    <xf numFmtId="2" fontId="35" fillId="8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19" fillId="6" borderId="1" applyAlignment="1" pivotButton="0" quotePrefix="0" xfId="0">
      <alignment horizontal="general" vertical="top" wrapText="1"/>
    </xf>
    <xf numFmtId="0" fontId="19" fillId="6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31" fillId="0" borderId="0" pivotButton="0" quotePrefix="0" xfId="0"/>
    <xf numFmtId="0" fontId="21" fillId="2" borderId="0" applyAlignment="1" pivotButton="0" quotePrefix="0" xfId="0">
      <alignment horizontal="general" vertical="bottom"/>
    </xf>
    <xf numFmtId="0" fontId="31" fillId="2" borderId="0" applyAlignment="1" pivotButton="0" quotePrefix="0" xfId="0">
      <alignment horizontal="general" vertical="bottom"/>
    </xf>
    <xf numFmtId="0" fontId="37" fillId="19" borderId="2" applyAlignment="1" pivotButton="0" quotePrefix="0" xfId="0">
      <alignment horizontal="left" vertical="top" wrapText="1"/>
    </xf>
    <xf numFmtId="0" fontId="40" fillId="22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9DB"/>
      <rgbColor rgb="FFEAF7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9E4"/>
      <rgbColor rgb="FFFDEDEC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4E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Emissions by Bucket (tCO2e)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_chart_data!B1</f>
              <strCache>
                <ptCount val="1"/>
                <pt idx="0">
                  <v>tCO2e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_chart_data!$A$2:$A$5</f>
              <strCache>
                <ptCount val="4"/>
                <pt idx="0">
                  <v>Scope 1</v>
                </pt>
                <pt idx="1">
                  <v>Scope 2 (Location-Based)</v>
                </pt>
                <pt idx="2">
                  <v>Scope 3 Cat 1-9</v>
                </pt>
                <pt idx="3">
                  <v>Scope 3 Cat 10-15</v>
                </pt>
              </strCache>
            </strRef>
          </cat>
          <val>
            <numRef>
              <f>_chart_data!$B$2:$B$5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gapWidth val="150"/>
        <overlap val="0"/>
        <axId val="79222967"/>
        <axId val="60961283"/>
      </barChart>
      <catAx>
        <axId val="79222967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Bucket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0961283"/>
        <crosses val="autoZero"/>
        <auto val="1"/>
        <lblAlgn val="ctr"/>
        <lblOffset val="100"/>
        <noMultiLvlLbl val="0"/>
      </catAx>
      <valAx>
        <axId val="60961283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tCO2e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9222967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0</colOff>
      <row>2</row>
      <rowOff>131040</rowOff>
    </from>
    <to>
      <col>9</col>
      <colOff>586440</colOff>
      <row>16</row>
      <rowOff>42840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52" customWidth="1" style="32" min="1" max="1"/>
    <col width="18" customWidth="1" style="32" min="2" max="2"/>
    <col width="42" customWidth="1" style="32" min="3" max="4"/>
  </cols>
  <sheetData>
    <row r="1" ht="19.5" customHeight="1" s="33">
      <c r="A1" s="34" t="inlineStr">
        <is>
          <t>GHG Inventory Dashboard</t>
        </is>
      </c>
    </row>
    <row r="2" ht="15" customHeight="1" s="33">
      <c r="A2" s="35" t="inlineStr">
        <is>
          <t>All totals below are formula-driven and only include Scope 3 categories marked 'Included' in Materiality_Screening.</t>
        </is>
      </c>
    </row>
    <row r="4" ht="24" customHeight="1" s="33">
      <c r="A4" s="36" t="inlineStr">
        <is>
          <t>Scope 1 (tCO2e)</t>
        </is>
      </c>
      <c r="B4" s="37">
        <f>GHG_Calculator!F22</f>
        <v/>
      </c>
    </row>
    <row r="5" ht="24" customHeight="1" s="33">
      <c r="A5" s="36" t="inlineStr">
        <is>
          <t>Scope 2 - Location-Based (tCO2e)</t>
        </is>
      </c>
      <c r="B5" s="37">
        <f>GHG_Calculator!F32</f>
        <v/>
      </c>
    </row>
    <row r="6" ht="24" customHeight="1" s="33">
      <c r="A6" s="36" t="inlineStr">
        <is>
          <t>Scope 2 - Market-Based (tCO2e)</t>
        </is>
      </c>
      <c r="B6" s="37">
        <f>GHG_Calculator!F39</f>
        <v/>
      </c>
    </row>
    <row r="7" ht="24" customHeight="1" s="33">
      <c r="A7" s="36" t="inlineStr">
        <is>
          <t>Scope 3, Categories 1-9 (tCO2e, materiality-filtered)</t>
        </is>
      </c>
      <c r="B7" s="37">
        <f>SUM(GHG_Calculator!F42:F92)</f>
        <v/>
      </c>
    </row>
    <row r="8" ht="24" customHeight="1" s="33">
      <c r="A8" s="36" t="inlineStr">
        <is>
          <t>Scope 3, Categories 10-15 (tCO2e)</t>
        </is>
      </c>
      <c r="B8" s="37">
        <f>Scope3_Hard_Categories!B53</f>
        <v/>
      </c>
    </row>
    <row r="10" ht="17.25" customHeight="1" s="33">
      <c r="A10" s="38" t="inlineStr">
        <is>
          <t>GRAND TOTAL - Location-Based Scope 2 (tCO2e)</t>
        </is>
      </c>
      <c r="B10" s="39">
        <f>B4+B5+B7+B8</f>
        <v/>
      </c>
    </row>
    <row r="11" ht="17.25" customHeight="1" s="33">
      <c r="A11" s="38" t="inlineStr">
        <is>
          <t>GRAND TOTAL - Market-Based Scope 2 (tCO2e)</t>
        </is>
      </c>
      <c r="B11" s="39">
        <f>B4+B6+B7+B8</f>
        <v/>
      </c>
    </row>
    <row r="13" ht="15" customHeight="1" s="33">
      <c r="A13" s="36" t="inlineStr">
        <is>
          <t>Rows still flagged (unassessed quantity or zero factor)</t>
        </is>
      </c>
    </row>
    <row r="14" ht="15" customHeight="1" s="33">
      <c r="A14" s="40">
        <f>COUNTIF(GHG_Calculator!G2:G92,"?*")</f>
        <v/>
      </c>
      <c r="B14" s="35">
        <f>"Open the GHG_Calculator tab -&gt; Flag column to see which rows"</f>
        <v/>
      </c>
    </row>
    <row r="16" ht="15" customHeight="1" s="33">
      <c r="A16" s="36" t="inlineStr">
        <is>
          <t>Excluded / Not Applicable Scope 3 categories (with reason)</t>
        </is>
      </c>
    </row>
    <row r="17" ht="15" customHeight="1" s="33">
      <c r="A17" s="41" t="inlineStr">
        <is>
          <t>Category</t>
        </is>
      </c>
      <c r="B17" s="41" t="inlineStr">
        <is>
          <t>Decision</t>
        </is>
      </c>
      <c r="C17" s="41" t="inlineStr">
        <is>
          <t>Justification</t>
        </is>
      </c>
    </row>
    <row r="18" ht="15" customHeight="1" s="33">
      <c r="A18" s="42">
        <f>IF(Materiality_Screening!D2&lt;&gt;"Included",Materiality_Screening!B2,"")</f>
        <v/>
      </c>
      <c r="B18" s="42">
        <f>IF(Materiality_Screening!D2&lt;&gt;"Included",Materiality_Screening!D2,"")</f>
        <v/>
      </c>
      <c r="C18" s="42">
        <f>IF(Materiality_Screening!D2&lt;&gt;"Included",Materiality_Screening!E2,"")</f>
        <v/>
      </c>
    </row>
    <row r="19" ht="15" customHeight="1" s="33">
      <c r="A19" s="42">
        <f>IF(Materiality_Screening!D3&lt;&gt;"Included",Materiality_Screening!B3,"")</f>
        <v/>
      </c>
      <c r="B19" s="42">
        <f>IF(Materiality_Screening!D3&lt;&gt;"Included",Materiality_Screening!D3,"")</f>
        <v/>
      </c>
      <c r="C19" s="42">
        <f>IF(Materiality_Screening!D3&lt;&gt;"Included",Materiality_Screening!E3,"")</f>
        <v/>
      </c>
    </row>
    <row r="20" ht="15" customHeight="1" s="33">
      <c r="A20" s="42">
        <f>IF(Materiality_Screening!D4&lt;&gt;"Included",Materiality_Screening!B4,"")</f>
        <v/>
      </c>
      <c r="B20" s="42">
        <f>IF(Materiality_Screening!D4&lt;&gt;"Included",Materiality_Screening!D4,"")</f>
        <v/>
      </c>
      <c r="C20" s="42">
        <f>IF(Materiality_Screening!D4&lt;&gt;"Included",Materiality_Screening!E4,"")</f>
        <v/>
      </c>
    </row>
    <row r="21" ht="15" customHeight="1" s="33">
      <c r="A21" s="42">
        <f>IF(Materiality_Screening!D5&lt;&gt;"Included",Materiality_Screening!B5,"")</f>
        <v/>
      </c>
      <c r="B21" s="42">
        <f>IF(Materiality_Screening!D5&lt;&gt;"Included",Materiality_Screening!D5,"")</f>
        <v/>
      </c>
      <c r="C21" s="42">
        <f>IF(Materiality_Screening!D5&lt;&gt;"Included",Materiality_Screening!E5,"")</f>
        <v/>
      </c>
    </row>
    <row r="22" ht="15" customHeight="1" s="33">
      <c r="A22" s="42">
        <f>IF(Materiality_Screening!D6&lt;&gt;"Included",Materiality_Screening!B6,"")</f>
        <v/>
      </c>
      <c r="B22" s="42">
        <f>IF(Materiality_Screening!D6&lt;&gt;"Included",Materiality_Screening!D6,"")</f>
        <v/>
      </c>
      <c r="C22" s="42">
        <f>IF(Materiality_Screening!D6&lt;&gt;"Included",Materiality_Screening!E6,"")</f>
        <v/>
      </c>
    </row>
    <row r="23" ht="15" customHeight="1" s="33">
      <c r="A23" s="42">
        <f>IF(Materiality_Screening!D7&lt;&gt;"Included",Materiality_Screening!B7,"")</f>
        <v/>
      </c>
      <c r="B23" s="42">
        <f>IF(Materiality_Screening!D7&lt;&gt;"Included",Materiality_Screening!D7,"")</f>
        <v/>
      </c>
      <c r="C23" s="42">
        <f>IF(Materiality_Screening!D7&lt;&gt;"Included",Materiality_Screening!E7,"")</f>
        <v/>
      </c>
    </row>
    <row r="24" ht="15" customHeight="1" s="33">
      <c r="A24" s="42">
        <f>IF(Materiality_Screening!D8&lt;&gt;"Included",Materiality_Screening!B8,"")</f>
        <v/>
      </c>
      <c r="B24" s="42">
        <f>IF(Materiality_Screening!D8&lt;&gt;"Included",Materiality_Screening!D8,"")</f>
        <v/>
      </c>
      <c r="C24" s="42">
        <f>IF(Materiality_Screening!D8&lt;&gt;"Included",Materiality_Screening!E8,"")</f>
        <v/>
      </c>
    </row>
    <row r="25" ht="15" customHeight="1" s="33">
      <c r="A25" s="42">
        <f>IF(Materiality_Screening!D9&lt;&gt;"Included",Materiality_Screening!B9,"")</f>
        <v/>
      </c>
      <c r="B25" s="42">
        <f>IF(Materiality_Screening!D9&lt;&gt;"Included",Materiality_Screening!D9,"")</f>
        <v/>
      </c>
      <c r="C25" s="42">
        <f>IF(Materiality_Screening!D9&lt;&gt;"Included",Materiality_Screening!E9,"")</f>
        <v/>
      </c>
    </row>
    <row r="26" ht="15" customHeight="1" s="33">
      <c r="A26" s="42">
        <f>IF(Materiality_Screening!D10&lt;&gt;"Included",Materiality_Screening!B10,"")</f>
        <v/>
      </c>
      <c r="B26" s="42">
        <f>IF(Materiality_Screening!D10&lt;&gt;"Included",Materiality_Screening!D10,"")</f>
        <v/>
      </c>
      <c r="C26" s="42">
        <f>IF(Materiality_Screening!D10&lt;&gt;"Included",Materiality_Screening!E10,"")</f>
        <v/>
      </c>
    </row>
    <row r="27" ht="15" customHeight="1" s="33">
      <c r="A27" s="42">
        <f>IF(Materiality_Screening!D11&lt;&gt;"Included",Materiality_Screening!B11,"")</f>
        <v/>
      </c>
      <c r="B27" s="42">
        <f>IF(Materiality_Screening!D11&lt;&gt;"Included",Materiality_Screening!D11,"")</f>
        <v/>
      </c>
      <c r="C27" s="42">
        <f>IF(Materiality_Screening!D11&lt;&gt;"Included",Materiality_Screening!E11,"")</f>
        <v/>
      </c>
    </row>
    <row r="28" ht="15" customHeight="1" s="33">
      <c r="A28" s="42">
        <f>IF(Materiality_Screening!D12&lt;&gt;"Included",Materiality_Screening!B12,"")</f>
        <v/>
      </c>
      <c r="B28" s="42">
        <f>IF(Materiality_Screening!D12&lt;&gt;"Included",Materiality_Screening!D12,"")</f>
        <v/>
      </c>
      <c r="C28" s="42">
        <f>IF(Materiality_Screening!D12&lt;&gt;"Included",Materiality_Screening!E12,"")</f>
        <v/>
      </c>
    </row>
    <row r="29" ht="15" customHeight="1" s="33">
      <c r="A29" s="42">
        <f>IF(Materiality_Screening!D13&lt;&gt;"Included",Materiality_Screening!B13,"")</f>
        <v/>
      </c>
      <c r="B29" s="42">
        <f>IF(Materiality_Screening!D13&lt;&gt;"Included",Materiality_Screening!D13,"")</f>
        <v/>
      </c>
      <c r="C29" s="42">
        <f>IF(Materiality_Screening!D13&lt;&gt;"Included",Materiality_Screening!E13,"")</f>
        <v/>
      </c>
    </row>
    <row r="30" ht="15" customHeight="1" s="33">
      <c r="A30" s="42">
        <f>IF(Materiality_Screening!D14&lt;&gt;"Included",Materiality_Screening!B14,"")</f>
        <v/>
      </c>
      <c r="B30" s="42">
        <f>IF(Materiality_Screening!D14&lt;&gt;"Included",Materiality_Screening!D14,"")</f>
        <v/>
      </c>
      <c r="C30" s="42">
        <f>IF(Materiality_Screening!D14&lt;&gt;"Included",Materiality_Screening!E14,"")</f>
        <v/>
      </c>
    </row>
    <row r="31" ht="15" customHeight="1" s="33">
      <c r="A31" s="42">
        <f>IF(Materiality_Screening!D15&lt;&gt;"Included",Materiality_Screening!B15,"")</f>
        <v/>
      </c>
      <c r="B31" s="42">
        <f>IF(Materiality_Screening!D15&lt;&gt;"Included",Materiality_Screening!D15,"")</f>
        <v/>
      </c>
      <c r="C31" s="42">
        <f>IF(Materiality_Screening!D15&lt;&gt;"Included",Materiality_Screening!E15,"")</f>
        <v/>
      </c>
    </row>
    <row r="32" ht="15" customHeight="1" s="33">
      <c r="A32" s="42">
        <f>IF(Materiality_Screening!D16&lt;&gt;"Included",Materiality_Screening!B16,"")</f>
        <v/>
      </c>
      <c r="B32" s="42">
        <f>IF(Materiality_Screening!D16&lt;&gt;"Included",Materiality_Screening!D16,"")</f>
        <v/>
      </c>
      <c r="C32" s="42">
        <f>IF(Materiality_Screening!D16&lt;&gt;"Included",Materiality_Screening!E16,"")</f>
        <v/>
      </c>
    </row>
    <row r="34">
      <c r="A34" s="43" t="inlineStr">
        <is>
          <t>INVENTORY CONFIDENCE — Data Quality Rating (DQR)</t>
        </is>
      </c>
      <c r="B34" s="44" t="n"/>
      <c r="C34" s="45" t="n"/>
    </row>
    <row r="35">
      <c r="A35" s="46" t="inlineStr">
        <is>
          <t>DQR scale: 1.0 = Best / Verified primary data. 5.0 = Worst / Unqualified estimate. Composite = AVERAGE of Reliability, Completeness, Temporal, Geographical, Technology per line item.</t>
        </is>
      </c>
      <c r="B35" s="44" t="n"/>
      <c r="C35" s="45" t="n"/>
    </row>
    <row r="36">
      <c r="A36" s="47" t="inlineStr">
        <is>
          <t>Average DQR — Scope 1</t>
        </is>
      </c>
      <c r="B36" s="45" t="n"/>
      <c r="C36" s="48">
        <f>Data_Quality_Scoring!J84</f>
        <v/>
      </c>
    </row>
    <row r="37">
      <c r="A37" s="47" t="inlineStr">
        <is>
          <t>Average DQR — Scope 2 (Loc-Based)</t>
        </is>
      </c>
      <c r="B37" s="45" t="n"/>
      <c r="C37" s="48">
        <f>Data_Quality_Scoring!J85</f>
        <v/>
      </c>
    </row>
    <row r="38">
      <c r="A38" s="47" t="inlineStr">
        <is>
          <t>Average DQR — Scope 2 (Mkt-Based)</t>
        </is>
      </c>
      <c r="B38" s="45" t="n"/>
      <c r="C38" s="48">
        <f>Data_Quality_Scoring!J86</f>
        <v/>
      </c>
    </row>
    <row r="39">
      <c r="A39" s="47" t="inlineStr">
        <is>
          <t>Average DQR — Scope 3 Cat 1–9</t>
        </is>
      </c>
      <c r="B39" s="45" t="n"/>
      <c r="C39" s="48">
        <f>Data_Quality_Scoring!J87</f>
        <v/>
      </c>
    </row>
    <row r="40">
      <c r="A40" s="47" t="inlineStr">
        <is>
          <t>Average DQR — Scope 3 Cat 10–15</t>
        </is>
      </c>
      <c r="B40" s="45" t="n"/>
      <c r="C40" s="48">
        <f>Data_Quality_Scoring!J88</f>
        <v/>
      </c>
    </row>
    <row r="41">
      <c r="A41" s="49" t="inlineStr">
        <is>
          <t>OVERALL INVENTORY DQR</t>
        </is>
      </c>
      <c r="B41" s="45" t="n"/>
      <c r="C41" s="50">
        <f>Data_Quality_Scoring!J89</f>
        <v/>
      </c>
    </row>
    <row r="43" ht="30" customHeight="1" s="33">
      <c r="A43" s="49" t="inlineStr">
        <is>
          <t>CONFIDENCE BAND</t>
        </is>
      </c>
      <c r="B43" s="51">
        <f>IF(C41="","⬜ NOT YET SCORED — complete Data_Quality_Scoring tab",IF(C41&lt;=2,"🟢 HIGH — Data is verified and site-specific; suitable for disclosure",IF(C41&lt;=3.5,"🟡 MEDIUM — Mixed confidence; flag for reviewer attention before disclosure","🔴 LOW — Proxy-heavy or unscored; disclose only with explicit caveats")))</f>
        <v/>
      </c>
      <c r="C43" s="45" t="n"/>
    </row>
    <row r="45" ht="48" customHeight="1" s="33">
      <c r="A45" s="52" t="inlineStr">
        <is>
          <t>⚠  DISCLAIMER: This workbook produces a screening estimate, not an assured disclosure. The GHG Protocol Corporate Standard and ISO 14064-1 require third-party verification before results are used in public sustainability reports or regulatory submissions. See Cover_Boundary tab for full methodology statement, boundary decisions, and exclusion justifications.</t>
        </is>
      </c>
      <c r="B45" s="44" t="n"/>
      <c r="C45" s="45" t="n"/>
    </row>
  </sheetData>
  <mergeCells count="12">
    <mergeCell ref="A2:F2"/>
    <mergeCell ref="A38:B38"/>
    <mergeCell ref="A45:C45"/>
    <mergeCell ref="A41:B41"/>
    <mergeCell ref="A1:F1"/>
    <mergeCell ref="A37:B37"/>
    <mergeCell ref="A36:B36"/>
    <mergeCell ref="A34:C34"/>
    <mergeCell ref="A35:C35"/>
    <mergeCell ref="A39:B39"/>
    <mergeCell ref="B43:C43"/>
    <mergeCell ref="A40:B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2" min="1" max="1"/>
    <col width="30" customWidth="1" style="32" min="2" max="2"/>
    <col width="22" customWidth="1" style="32" min="3" max="3"/>
    <col width="55" customWidth="1" style="32" min="4" max="4"/>
  </cols>
  <sheetData>
    <row r="1" ht="15.75" customHeight="1" s="33">
      <c r="A1" s="53" t="inlineStr">
        <is>
          <t>GHG Emissions Inventory - Boundary &amp; Reporting Basis</t>
        </is>
      </c>
      <c r="B1" s="42" t="n"/>
      <c r="C1" s="42" t="n"/>
      <c r="D1" s="42" t="n"/>
    </row>
    <row r="2" ht="15" customHeight="1" s="33">
      <c r="A2" s="42" t="n"/>
      <c r="B2" s="42" t="n"/>
      <c r="C2" s="42" t="n"/>
      <c r="D2" s="42" t="n"/>
    </row>
    <row r="3" ht="15" customHeight="1" s="33">
      <c r="A3" s="42" t="inlineStr">
        <is>
          <t>1. Reporting Entity</t>
        </is>
      </c>
      <c r="B3" s="42" t="n"/>
      <c r="C3" s="42" t="n"/>
      <c r="D3" s="42" t="n"/>
    </row>
    <row r="4" ht="15" customHeight="1" s="33">
      <c r="A4" s="42" t="inlineStr">
        <is>
          <t>Company / Facility Name</t>
        </is>
      </c>
      <c r="B4" s="42" t="n"/>
      <c r="C4" s="42" t="n"/>
      <c r="D4" s="42" t="inlineStr">
        <is>
          <t>Legal entity or facility this inventory covers</t>
        </is>
      </c>
    </row>
    <row r="5" ht="15" customHeight="1" s="33">
      <c r="A5" s="42" t="inlineStr">
        <is>
          <t>Reporting Period</t>
        </is>
      </c>
      <c r="B5" s="42" t="n"/>
      <c r="C5" s="42" t="n"/>
      <c r="D5" s="42" t="inlineStr">
        <is>
          <t>e.g. 1 Apr 2025 - 31 Mar 2026</t>
        </is>
      </c>
    </row>
    <row r="6" ht="15" customHeight="1" s="33">
      <c r="A6" s="42" t="inlineStr">
        <is>
          <t>Base Year</t>
        </is>
      </c>
      <c r="B6" s="42" t="n"/>
      <c r="C6" s="42" t="n"/>
      <c r="D6" s="42" t="inlineStr">
        <is>
          <t>REQUIRED for tracking reductions over time - GHG Protocol mandates a fixed base year</t>
        </is>
      </c>
    </row>
    <row r="7" ht="15" customHeight="1" s="33">
      <c r="A7" s="42" t="inlineStr">
        <is>
          <t>Prepared By / Contact</t>
        </is>
      </c>
      <c r="B7" s="42" t="n"/>
      <c r="C7" s="42" t="n"/>
      <c r="D7" s="42" t="n"/>
    </row>
    <row r="8" ht="15" customHeight="1" s="33">
      <c r="A8" s="42" t="inlineStr">
        <is>
          <t>Date of Preparation</t>
        </is>
      </c>
      <c r="B8" s="42" t="n"/>
      <c r="C8" s="42" t="n"/>
      <c r="D8" s="42" t="n"/>
    </row>
    <row r="9" ht="15" customHeight="1" s="33">
      <c r="A9" s="42" t="n"/>
      <c r="B9" s="42" t="n"/>
      <c r="C9" s="42" t="n"/>
      <c r="D9" s="42" t="n"/>
    </row>
    <row r="10" ht="15" customHeight="1" s="33">
      <c r="A10" s="42" t="inlineStr">
        <is>
          <t>2. Organizational Boundary (choose ONE consolidation approach)</t>
        </is>
      </c>
      <c r="B10" s="42" t="n"/>
      <c r="C10" s="42" t="n"/>
      <c r="D10" s="42" t="n"/>
    </row>
    <row r="11" ht="15" customHeight="1" s="33">
      <c r="A11" s="42" t="inlineStr">
        <is>
          <t>Consolidation Approach</t>
        </is>
      </c>
      <c r="B11" s="42" t="inlineStr">
        <is>
          <t>Select one</t>
        </is>
      </c>
      <c r="C11" s="42" t="n"/>
      <c r="D11" s="42" t="inlineStr">
        <is>
          <t>Determines which facilities/entities are consolidated into this inventory - see GHG Protocol Corporate Standard Ch.3</t>
        </is>
      </c>
    </row>
    <row r="12" ht="15" customHeight="1" s="33">
      <c r="A12" s="42" t="inlineStr">
        <is>
          <t>Entities/Facilities Included</t>
        </is>
      </c>
      <c r="B12" s="42" t="n"/>
      <c r="C12" s="42" t="n"/>
      <c r="D12" s="42" t="inlineStr">
        <is>
          <t>List every facility or subsidiary consolidated under the chosen approach</t>
        </is>
      </c>
    </row>
    <row r="13" ht="15" customHeight="1" s="33">
      <c r="A13" s="42" t="inlineStr">
        <is>
          <t>Entities/Facilities Explicitly Excluded</t>
        </is>
      </c>
      <c r="B13" s="42" t="n"/>
      <c r="C13" s="42" t="n"/>
      <c r="D13" s="42" t="inlineStr">
        <is>
          <t>Document any exclusion and the reason (e.g. divested, immaterial, no operational control)</t>
        </is>
      </c>
    </row>
    <row r="14" ht="15" customHeight="1" s="33">
      <c r="A14" s="42" t="n"/>
      <c r="B14" s="42" t="n"/>
      <c r="C14" s="42" t="n"/>
      <c r="D14" s="42" t="n"/>
    </row>
    <row r="15" ht="15" customHeight="1" s="33">
      <c r="A15" s="42" t="inlineStr">
        <is>
          <t>3. Operational Boundary (which scopes are covered)</t>
        </is>
      </c>
      <c r="B15" s="42" t="n"/>
      <c r="C15" s="42" t="n"/>
      <c r="D15" s="42" t="n"/>
    </row>
    <row r="16" ht="15" customHeight="1" s="33">
      <c r="A16" s="42" t="inlineStr">
        <is>
          <t>Scope 1 (Direct Emissions)</t>
        </is>
      </c>
      <c r="B16" s="42" t="inlineStr">
        <is>
          <t>Included</t>
        </is>
      </c>
      <c r="C16" s="42" t="n"/>
      <c r="D16" s="42" t="n"/>
    </row>
    <row r="17" ht="15" customHeight="1" s="33">
      <c r="A17" s="42" t="inlineStr">
        <is>
          <t>Scope 2 (Purchased Energy)</t>
        </is>
      </c>
      <c r="B17" s="42" t="inlineStr">
        <is>
          <t>Included</t>
        </is>
      </c>
      <c r="C17" s="42" t="n"/>
      <c r="D17" s="42" t="n"/>
    </row>
    <row r="18" ht="15" customHeight="1" s="33">
      <c r="A18" s="42" t="inlineStr">
        <is>
          <t>Scope 3 (Value Chain)</t>
        </is>
      </c>
      <c r="B18" s="42" t="inlineStr">
        <is>
          <t>Included</t>
        </is>
      </c>
      <c r="C18" s="42" t="n"/>
      <c r="D18" s="42" t="n"/>
    </row>
    <row r="19" ht="15" customHeight="1" s="33">
      <c r="A19" s="42" t="inlineStr">
        <is>
          <t>Scope 3 Categories Excluded (if any)</t>
        </is>
      </c>
      <c r="B19" s="42" t="n"/>
      <c r="C19" s="42" t="n"/>
      <c r="D19" s="42" t="inlineStr">
        <is>
          <t>List category numbers 1-15 excluded and justification - see GHG_Master_Calculator tab for the full category list</t>
        </is>
      </c>
    </row>
    <row r="20" ht="15" customHeight="1" s="33">
      <c r="A20" s="42" t="n"/>
      <c r="B20" s="42" t="n"/>
      <c r="C20" s="42" t="n"/>
      <c r="D20" s="42" t="n"/>
    </row>
    <row r="21" ht="15" customHeight="1" s="33">
      <c r="A21" s="42" t="inlineStr">
        <is>
          <t>4. Methodology &amp; Standards Applied</t>
        </is>
      </c>
      <c r="B21" s="42" t="n"/>
      <c r="C21" s="42" t="n"/>
      <c r="D21" s="42" t="n"/>
    </row>
    <row r="22" ht="15" customHeight="1" s="33">
      <c r="A22" s="42" t="inlineStr">
        <is>
          <t>Primary Standard</t>
        </is>
      </c>
      <c r="B22" s="42" t="inlineStr">
        <is>
          <t>GHG Protocol Corporate Standard + Corporate Value Chain (Scope 3) Standard</t>
        </is>
      </c>
      <c r="C22" s="42" t="n"/>
      <c r="D22" s="42" t="inlineStr">
        <is>
          <t>e.g. GHG Protocol Corporate Standard + Scope 3 Standard; or ISO 14064-1</t>
        </is>
      </c>
    </row>
    <row r="23" ht="15" customHeight="1" s="33">
      <c r="A23" s="42" t="inlineStr">
        <is>
          <t>GWP Values Used</t>
        </is>
      </c>
      <c r="B23" s="42" t="inlineStr">
        <is>
          <t>IPCC AR4 (verify against your disclosure framework's required vintage)</t>
        </is>
      </c>
      <c r="C23" s="42" t="n"/>
      <c r="D23" s="42" t="inlineStr">
        <is>
          <t>Confirm IPCC Assessment Report vintage - see DB_Master notes column for per-factor citations</t>
        </is>
      </c>
    </row>
    <row r="24" ht="15" customHeight="1" s="33">
      <c r="A24" s="42" t="inlineStr">
        <is>
          <t>Scope 2 Reporting Method</t>
        </is>
      </c>
      <c r="B24" s="42" t="inlineStr">
        <is>
          <t>Dual reporting: Location-based + Market-based (see GHG_Master_Calculator)</t>
        </is>
      </c>
      <c r="C24" s="42" t="n"/>
      <c r="D24" s="42" t="inlineStr">
        <is>
          <t>GHG Protocol Scope 2 Guidance requires BOTH methods where applicable</t>
        </is>
      </c>
    </row>
    <row r="25" ht="15" customHeight="1" s="33">
      <c r="A25" s="42" t="n"/>
      <c r="B25" s="42" t="n"/>
      <c r="C25" s="42" t="n"/>
      <c r="D25" s="42" t="n"/>
    </row>
    <row r="26" ht="15" customHeight="1" s="33">
      <c r="A26" s="42" t="inlineStr">
        <is>
          <t>5. Assurance Status</t>
        </is>
      </c>
      <c r="B26" s="42" t="n"/>
      <c r="C26" s="42" t="n"/>
      <c r="D26" s="42" t="n"/>
    </row>
    <row r="27" ht="15" customHeight="1" s="33">
      <c r="A27" s="42" t="inlineStr">
        <is>
          <t>Third-Party Verification Status</t>
        </is>
      </c>
      <c r="B27" s="42" t="n"/>
      <c r="C27" s="42" t="n"/>
      <c r="D27" s="42" t="inlineStr">
        <is>
          <t>e.g. Not yet verified / Limited assurance / Reasonable assurance, and by whom</t>
        </is>
      </c>
    </row>
    <row r="28" ht="15" customHeight="1" s="33">
      <c r="A28" s="42" t="inlineStr">
        <is>
          <t>Data Quality Approach</t>
        </is>
      </c>
      <c r="B28" s="42" t="n"/>
      <c r="C28" s="42" t="n"/>
      <c r="D28" s="42" t="inlineStr">
        <is>
          <t>Every line item in GHG_Master_Calculator has a Data Quality tier - see that tab</t>
        </is>
      </c>
    </row>
    <row r="29" ht="15" customHeight="1" s="33">
      <c r="A29" s="42" t="n"/>
      <c r="B29" s="42" t="n"/>
      <c r="C29" s="42" t="n"/>
      <c r="D29" s="42" t="n"/>
    </row>
    <row r="30" ht="15" customHeight="1" s="33">
      <c r="A30" s="42" t="inlineStr">
        <is>
          <t>6. Materiality &amp; Exclusion Policy</t>
        </is>
      </c>
      <c r="B30" s="42" t="n"/>
      <c r="C30" s="42" t="n"/>
      <c r="D30" s="42" t="n"/>
    </row>
    <row r="31" ht="15" customHeight="1" s="33">
      <c r="A31" s="42" t="inlineStr">
        <is>
          <t>Materiality Threshold</t>
        </is>
      </c>
      <c r="B31" s="42" t="n"/>
      <c r="C31" s="42" t="n"/>
      <c r="D31" s="42" t="inlineStr">
        <is>
          <t>e.g. 5% of total inventory, or an absolute tCO2e cutoff -- state the basis for excluding immaterial sources</t>
        </is>
      </c>
    </row>
    <row r="32" ht="15" customHeight="1" s="33">
      <c r="A32" s="42" t="inlineStr">
        <is>
          <t>Sources Excluded as Immaterial</t>
        </is>
      </c>
      <c r="B32" s="42" t="n"/>
      <c r="C32" s="42" t="n"/>
      <c r="D32" s="42" t="inlineStr">
        <is>
          <t>List any emission source knowingly left out because it falls below the materiality threshold, with rationale</t>
        </is>
      </c>
    </row>
    <row r="33" ht="15" customHeight="1" s="33">
      <c r="A33" s="42" t="inlineStr">
        <is>
          <t>CO2e Conversion Note</t>
        </is>
      </c>
      <c r="B33" s="42" t="n"/>
      <c r="C33" s="42" t="n"/>
      <c r="D33" s="42" t="inlineStr">
        <is>
          <t>Confirm whether Scope 1/2 combustion factors used are CO2-only or full CO2e -- see DB_Master notes column per factor</t>
        </is>
      </c>
    </row>
    <row r="34" ht="15" customHeight="1" s="33">
      <c r="A34" s="42" t="n"/>
      <c r="B34" s="42" t="n"/>
      <c r="C34" s="42" t="n"/>
      <c r="D34" s="42" t="n"/>
    </row>
    <row r="35" ht="15" customHeight="1" s="33">
      <c r="A35" s="42" t="inlineStr">
        <is>
          <t>7. Version History</t>
        </is>
      </c>
      <c r="B35" s="42" t="n"/>
      <c r="C35" s="42" t="n"/>
      <c r="D35" s="42" t="n"/>
    </row>
    <row r="36" ht="15" customHeight="1" s="33">
      <c r="A36" s="42" t="inlineStr">
        <is>
          <t>Version</t>
        </is>
      </c>
      <c r="B36" s="42" t="inlineStr">
        <is>
          <t>Date</t>
        </is>
      </c>
      <c r="C36" s="42" t="inlineStr">
        <is>
          <t>Changes</t>
        </is>
      </c>
      <c r="D36" s="42" t="n"/>
    </row>
    <row r="37" ht="15" customHeight="1" s="33">
      <c r="A37" s="42" t="inlineStr">
        <is>
          <t>v5</t>
        </is>
      </c>
      <c r="B37" s="42" t="n"/>
      <c r="C37" s="42" t="inlineStr">
        <is>
          <t>CO2e labeling correction; materiality/exclusion fields added</t>
        </is>
      </c>
      <c r="D37" s="4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32" min="1" max="1"/>
    <col width="12" customWidth="1" style="32" min="2" max="2"/>
    <col width="80" customWidth="1" style="32" min="3" max="3"/>
    <col width="28" customWidth="1" style="32" min="4" max="4"/>
    <col width="42" customWidth="1" style="33" min="5" max="5"/>
  </cols>
  <sheetData>
    <row r="1" ht="26.25" customHeight="1" s="33">
      <c r="A1" s="54" t="inlineStr">
        <is>
          <t>Lookup Key</t>
        </is>
      </c>
      <c r="B1" s="54" t="inlineStr">
        <is>
          <t>Emission Factor</t>
        </is>
      </c>
      <c r="C1" s="54" t="inlineStr">
        <is>
          <t>Source / Notes</t>
        </is>
      </c>
      <c r="D1" s="54" t="inlineStr">
        <is>
          <t>Automation Status</t>
        </is>
      </c>
      <c r="E1" s="55" t="inlineStr">
        <is>
          <t>Factor Age / Review Date</t>
        </is>
      </c>
    </row>
    <row r="2" ht="45.75" customHeight="1" s="33">
      <c r="A2" s="56" t="inlineStr">
        <is>
          <t>Diesel_Fuel</t>
        </is>
      </c>
      <c r="B2" s="56" t="n">
        <v>2.6558</v>
      </c>
      <c r="C2" s="56" t="inlineStr">
        <is>
          <t>India GHG Program base CO2 factor (2.64) + ~0.6% CH4/N2O uplift per US EPA GHG Equivalencies methodology (2024) = 2.6558 kgCO2e -- uplift is a documented approximation (CO2 is &gt;99% of combustion CO2e per EPA), not an India-specific measured N2O/CH4 split</t>
        </is>
      </c>
      <c r="D2" s="57" t="inlineStr">
        <is>
          <t>Fixed Factor</t>
        </is>
      </c>
      <c r="E2" s="58" t="inlineStr">
        <is>
          <t>India GHG Program 2024 / IPCC AR4</t>
        </is>
      </c>
    </row>
    <row r="3" ht="45.75" customHeight="1" s="33">
      <c r="A3" s="56" t="inlineStr">
        <is>
          <t>Petrol_Fuel</t>
        </is>
      </c>
      <c r="B3" s="56" t="n">
        <v>2.2836</v>
      </c>
      <c r="C3" s="56" t="inlineStr">
        <is>
          <t>India GHG Program base CO2 factor (2.27) + ~0.6% CH4/N2O uplift per US EPA GHG Equivalencies methodology (2024) = 2.2836 kgCO2e -- uplift is a documented approximation (CO2 is &gt;99% of combustion CO2e per EPA), not an India-specific measured N2O/CH4 split</t>
        </is>
      </c>
      <c r="D3" s="57" t="inlineStr">
        <is>
          <t>Fixed Factor</t>
        </is>
      </c>
      <c r="E3" s="58" t="inlineStr">
        <is>
          <t>India GHG Program 2024</t>
        </is>
      </c>
    </row>
    <row r="4" ht="45.75" customHeight="1" s="33">
      <c r="A4" s="56" t="inlineStr">
        <is>
          <t>CNG_Fuel</t>
        </is>
      </c>
      <c r="B4" s="56" t="n">
        <v>2.686</v>
      </c>
      <c r="C4" s="56" t="inlineStr">
        <is>
          <t>India GHG Program base CO2 factor (2.67) + ~0.6% CH4/N2O uplift per US EPA GHG Equivalencies methodology (2024) = 2.686 kgCO2e -- uplift is a documented approximation (CO2 is &gt;99% of combustion CO2e per EPA), not an India-specific measured N2O/CH4 split</t>
        </is>
      </c>
      <c r="D4" s="57" t="inlineStr">
        <is>
          <t>Fixed Factor</t>
        </is>
      </c>
      <c r="E4" s="58" t="inlineStr"/>
    </row>
    <row r="5" ht="45.75" customHeight="1" s="33">
      <c r="A5" s="56" t="inlineStr">
        <is>
          <t>LPG_Commercial</t>
        </is>
      </c>
      <c r="B5" s="56" t="n">
        <v>2.9979</v>
      </c>
      <c r="C5" s="56" t="inlineStr">
        <is>
          <t>India GHG Program base CO2 factor (2.98) + ~0.6% CH4/N2O uplift per US EPA GHG Equivalencies methodology (2024) = 2.9979 kgCO2e -- uplift is a documented approximation (CO2 is &gt;99% of combustion CO2e per EPA), not an India-specific measured N2O/CH4 split</t>
        </is>
      </c>
      <c r="D5" s="57" t="inlineStr">
        <is>
          <t>Fixed Factor</t>
        </is>
      </c>
      <c r="E5" s="58" t="inlineStr">
        <is>
          <t>India GHG Program 2024</t>
        </is>
      </c>
    </row>
    <row r="6" ht="45.75" customHeight="1" s="33">
      <c r="A6" s="56" t="inlineStr">
        <is>
          <t>Coal_Indian</t>
        </is>
      </c>
      <c r="B6" s="56" t="n">
        <v>1.9919</v>
      </c>
      <c r="C6" s="56" t="inlineStr">
        <is>
          <t>India GHG Program base CO2 factor (1.98) + ~0.6% CH4/N2O uplift per US EPA GHG Equivalencies methodology (2024) = 1.9919 kgCO2e -- uplift is a documented approximation (CO2 is &gt;99% of combustion CO2e per EPA), not an India-specific measured N2O/CH4 split</t>
        </is>
      </c>
      <c r="D6" s="57" t="inlineStr">
        <is>
          <t>Fixed Factor</t>
        </is>
      </c>
      <c r="E6" s="58" t="inlineStr">
        <is>
          <t>India GHG Program 2024</t>
        </is>
      </c>
    </row>
    <row r="7" ht="45.75" customHeight="1" s="33">
      <c r="A7" s="56" t="inlineStr">
        <is>
          <t>Furnace_Oil</t>
        </is>
      </c>
      <c r="B7" s="56" t="n">
        <v>3.1186</v>
      </c>
      <c r="C7" s="56" t="inlineStr">
        <is>
          <t>India GHG Program base CO2 factor (3.1) + ~0.6% CH4/N2O uplift per US EPA GHG Equivalencies methodology (2024) = 3.1186 kgCO2e -- uplift is a documented approximation (CO2 is &gt;99% of combustion CO2e per EPA), not an India-specific measured N2O/CH4 split</t>
        </is>
      </c>
      <c r="D7" s="57" t="inlineStr">
        <is>
          <t>Fixed Factor</t>
        </is>
      </c>
      <c r="E7" s="58" t="inlineStr">
        <is>
          <t>India GHG Program 2024 + EPA uplift 2024</t>
        </is>
      </c>
    </row>
    <row r="8" ht="45.75" customHeight="1" s="33">
      <c r="A8" s="56" t="inlineStr">
        <is>
          <t>Natural_Gas</t>
        </is>
      </c>
      <c r="B8" s="56" t="n">
        <v>1.8913</v>
      </c>
      <c r="C8" s="56" t="inlineStr">
        <is>
          <t>India GHG Program base CO2 factor (1.88) + ~0.6% CH4/N2O uplift per US EPA GHG Equivalencies methodology (2024) = 1.8913 kgCO2e -- uplift is a documented approximation (CO2 is &gt;99% of combustion CO2e per EPA), not an India-specific measured N2O/CH4 split</t>
        </is>
      </c>
      <c r="D8" s="57" t="inlineStr">
        <is>
          <t>Fixed Factor</t>
        </is>
      </c>
      <c r="E8" s="58" t="inlineStr">
        <is>
          <t>India GHG Program 2024 + EPA uplift 2024</t>
        </is>
      </c>
    </row>
    <row r="9" ht="45.75" customHeight="1" s="33">
      <c r="A9" s="56" t="inlineStr">
        <is>
          <t>Acetylene_Welding</t>
        </is>
      </c>
      <c r="B9" s="56" t="n">
        <v>3.4003</v>
      </c>
      <c r="C9" s="56" t="inlineStr">
        <is>
          <t>India GHG Program base CO2 factor (3.38) + ~0.6% CH4/N2O uplift per US EPA GHG Equivalencies methodology (2024) = 3.4003 kgCO2e -- uplift is a documented approximation (CO2 is &gt;99% of combustion CO2e per EPA), not an India-specific measured N2O/CH4 split</t>
        </is>
      </c>
      <c r="D9" s="57" t="inlineStr">
        <is>
          <t>Fixed Factor</t>
        </is>
      </c>
      <c r="E9" s="58" t="inlineStr">
        <is>
          <t>India GHG Program 2024 + EPA uplift 2024</t>
        </is>
      </c>
    </row>
    <row r="10" ht="15" customHeight="1" s="33">
      <c r="A10" s="56" t="inlineStr">
        <is>
          <t>Fire_Extinguisher_CO2</t>
        </is>
      </c>
      <c r="B10" s="56" t="n">
        <v>1</v>
      </c>
      <c r="C10" s="56" t="inlineStr">
        <is>
          <t>GWP of CO2 = 1, all AR vintages (kgCO2e/kg)</t>
        </is>
      </c>
      <c r="D10" s="57" t="inlineStr">
        <is>
          <t>Fixed Factor</t>
        </is>
      </c>
      <c r="E10" s="58" t="inlineStr">
        <is>
          <t>IPCC AR4 GWP-100 (2007, stable)</t>
        </is>
      </c>
    </row>
    <row r="11" ht="15" customHeight="1" s="33">
      <c r="A11" s="56" t="inlineStr">
        <is>
          <t>Refrig_R32</t>
        </is>
      </c>
      <c r="B11" s="56" t="n">
        <v>675</v>
      </c>
      <c r="C11" s="56" t="inlineStr">
        <is>
          <t>IPCC AR4 GWP-100 (kgCO2e/kg) -- verify vintage required by your framework</t>
        </is>
      </c>
      <c r="D11" s="57" t="inlineStr">
        <is>
          <t>Fixed Factor</t>
        </is>
      </c>
      <c r="E11" s="58" t="inlineStr">
        <is>
          <t>IPCC AR4 GWP-100 2007 — verify AR5/AR6 required</t>
        </is>
      </c>
    </row>
    <row r="12" ht="15" customHeight="1" s="33">
      <c r="A12" s="56" t="inlineStr">
        <is>
          <t>Refrig_R410A</t>
        </is>
      </c>
      <c r="B12" s="56" t="n">
        <v>2088</v>
      </c>
      <c r="C12" s="56" t="inlineStr">
        <is>
          <t>IPCC AR4 GWP-100 (kgCO2e/kg) -- verify vintage required by your framework</t>
        </is>
      </c>
      <c r="D12" s="57" t="inlineStr">
        <is>
          <t>Fixed Factor</t>
        </is>
      </c>
      <c r="E12" s="58" t="inlineStr">
        <is>
          <t>IPCC AR4 GWP-100 2007 — verify AR5/AR6 required</t>
        </is>
      </c>
    </row>
    <row r="13" ht="15" customHeight="1" s="33">
      <c r="A13" s="56" t="inlineStr">
        <is>
          <t>Refrig_R22</t>
        </is>
      </c>
      <c r="B13" s="56" t="n">
        <v>1810</v>
      </c>
      <c r="C13" s="56" t="inlineStr">
        <is>
          <t>IPCC AR4 GWP-100 (kgCO2e/kg) -- verify vintage required by your framework</t>
        </is>
      </c>
      <c r="D13" s="57" t="inlineStr">
        <is>
          <t>Fixed Factor</t>
        </is>
      </c>
      <c r="E13" s="58" t="inlineStr">
        <is>
          <t>IPCC AR4 GWP-100 2007 — verify AR5/AR6 required</t>
        </is>
      </c>
    </row>
    <row r="14" ht="45.75" customHeight="1" s="33">
      <c r="A14" s="56" t="inlineStr">
        <is>
          <t>Grid_India_CEA</t>
        </is>
      </c>
      <c r="B14" s="56" t="n">
        <v>0.7314000000000001</v>
      </c>
      <c r="C14" s="56" t="inlineStr">
        <is>
          <t>India GHG Program base CO2 factor (0.727) + ~0.6% CH4/N2O uplift per US EPA GHG Equivalencies methodology (2024) = 0.7314 kgCO2e -- uplift is a documented approximation (CO2 is &gt;99% of combustion CO2e per EPA), not an India-specific measured N2O/CH4 split</t>
        </is>
      </c>
      <c r="D14" s="57" t="inlineStr">
        <is>
          <t>Fixed Factor</t>
        </is>
      </c>
      <c r="E14" s="58" t="inlineStr">
        <is>
          <t>CEA 2022-23 (published 2024); refresh annually</t>
        </is>
      </c>
    </row>
    <row r="15" ht="45.75" customHeight="1" s="33">
      <c r="A15" s="56" t="inlineStr">
        <is>
          <t>Grid_MarketBased_Default</t>
        </is>
      </c>
      <c r="B15" s="56" t="n">
        <v>0.7314000000000001</v>
      </c>
      <c r="C15" s="56" t="inlineStr">
        <is>
          <t>India GHG Program base CO2 factor (0.727) + ~0.6% CH4/N2O uplift per US EPA GHG Equivalencies methodology (2024) = 0.7314 kgCO2e -- uplift is a documented approximation (CO2 is &gt;99% of combustion CO2e per EPA), not an India-specific measured N2O/CH4 split</t>
        </is>
      </c>
      <c r="D15" s="57" t="inlineStr">
        <is>
          <t>Fixed Factor</t>
        </is>
      </c>
      <c r="E15" s="58" t="inlineStr">
        <is>
          <t>CEA 2022-23 (published 2024); update with supplier data</t>
        </is>
      </c>
    </row>
    <row r="16" ht="23.25" customHeight="1" s="33">
      <c r="A16" s="56" t="inlineStr">
        <is>
          <t>REC_Backed_Electricity</t>
        </is>
      </c>
      <c r="B16" s="56" t="n">
        <v>0</v>
      </c>
      <c r="C16" s="56" t="inlineStr">
        <is>
          <t>Renewable Energy Certificate / PPA-backed electricity, zero-rated per market-based method (kgCO2/kWh) -- confirm REC is unbundled and not double-counted</t>
        </is>
      </c>
      <c r="D16" s="57" t="inlineStr">
        <is>
          <t>Fixed Factor</t>
        </is>
      </c>
      <c r="E16" s="58" t="inlineStr">
        <is>
          <t>Zero-rated per GHG Protocol S2 Guidance; stable</t>
        </is>
      </c>
    </row>
    <row r="17" ht="45.75" customHeight="1" s="33">
      <c r="A17" s="56" t="inlineStr">
        <is>
          <t>Purchased_Steam</t>
        </is>
      </c>
      <c r="B17" s="56" t="n">
        <v>0.1811</v>
      </c>
      <c r="C17" s="56" t="inlineStr">
        <is>
          <t>India GHG Program base CO2 factor (0.18) + ~0.6% CH4/N2O uplift per US EPA GHG Equivalencies methodology (2024) = 0.1811 kgCO2e -- uplift is a documented approximation (CO2 is &gt;99% of combustion CO2e per EPA), not an India-specific measured N2O/CH4 split</t>
        </is>
      </c>
      <c r="D17" s="57" t="inlineStr">
        <is>
          <t>Fixed Factor</t>
        </is>
      </c>
      <c r="E17" s="58" t="inlineStr">
        <is>
          <t>India GHG Program 2024</t>
        </is>
      </c>
    </row>
    <row r="18" ht="15" customHeight="1" s="33">
      <c r="A18" s="56" t="inlineStr">
        <is>
          <t>Transport_Truck_tkm</t>
        </is>
      </c>
      <c r="B18" s="56" t="n">
        <v>0.09</v>
      </c>
      <c r="C18" s="56" t="inlineStr">
        <is>
          <t>India Road Logistics (kgCO2/tonne-km)</t>
        </is>
      </c>
      <c r="D18" s="57" t="inlineStr">
        <is>
          <t>Fixed Factor</t>
        </is>
      </c>
      <c r="E18" s="58" t="inlineStr">
        <is>
          <t>India Road Logistics benchmark 2023</t>
        </is>
      </c>
    </row>
    <row r="19" ht="15" customHeight="1" s="33">
      <c r="A19" s="56" t="inlineStr">
        <is>
          <t>Transport_LCV_km</t>
        </is>
      </c>
      <c r="B19" s="56" t="n">
        <v>0.45</v>
      </c>
      <c r="C19" s="56" t="inlineStr">
        <is>
          <t>Light Commercial Vehicle (kgCO2/km)</t>
        </is>
      </c>
      <c r="D19" s="57" t="inlineStr">
        <is>
          <t>Fixed Factor</t>
        </is>
      </c>
      <c r="E19" s="58" t="inlineStr">
        <is>
          <t>India GHG Program 2024</t>
        </is>
      </c>
    </row>
    <row r="20" ht="15" customHeight="1" s="33">
      <c r="A20" s="56" t="inlineStr">
        <is>
          <t>Transport_HGV_km</t>
        </is>
      </c>
      <c r="B20" s="56" t="n">
        <v>0.85</v>
      </c>
      <c r="C20" s="56" t="inlineStr">
        <is>
          <t>Heavy Goods Vehicle (kgCO2/km)</t>
        </is>
      </c>
      <c r="D20" s="57" t="inlineStr">
        <is>
          <t>Fixed Factor</t>
        </is>
      </c>
      <c r="E20" s="58" t="inlineStr">
        <is>
          <t>India GHG Program 2024</t>
        </is>
      </c>
    </row>
    <row r="21" ht="15" customHeight="1" s="33">
      <c r="A21" s="56" t="inlineStr">
        <is>
          <t>Rail_Freight</t>
        </is>
      </c>
      <c r="B21" s="56" t="n">
        <v>0.015</v>
      </c>
      <c r="C21" s="56" t="inlineStr">
        <is>
          <t>Indian Railways Freight (kgCO2/tonne-km)</t>
        </is>
      </c>
      <c r="D21" s="57" t="inlineStr">
        <is>
          <t>Fixed Factor</t>
        </is>
      </c>
      <c r="E21" s="58" t="inlineStr">
        <is>
          <t>Indian Railways 2023-24</t>
        </is>
      </c>
    </row>
    <row r="22" ht="15" customHeight="1" s="33">
      <c r="A22" s="56" t="inlineStr">
        <is>
          <t>Rail_Passenger</t>
        </is>
      </c>
      <c r="B22" s="56" t="n">
        <v>0.01</v>
      </c>
      <c r="C22" s="56" t="inlineStr">
        <is>
          <t>Indian Railways Passenger (kgCO2/p-km)</t>
        </is>
      </c>
      <c r="D22" s="57" t="inlineStr">
        <is>
          <t>Fixed Factor</t>
        </is>
      </c>
      <c r="E22" s="58" t="inlineStr">
        <is>
          <t>Indian Railways 2023-24</t>
        </is>
      </c>
    </row>
    <row r="23" ht="15" customHeight="1" s="33">
      <c r="A23" s="56" t="inlineStr">
        <is>
          <t>Air_Domestic</t>
        </is>
      </c>
      <c r="B23" s="56" t="n">
        <v>0.12</v>
      </c>
      <c r="C23" s="56" t="inlineStr">
        <is>
          <t>Domestic Flights India (kgCO2/p-km)</t>
        </is>
      </c>
      <c r="D23" s="57" t="inlineStr">
        <is>
          <t>Fixed Factor</t>
        </is>
      </c>
      <c r="E23" s="58" t="inlineStr">
        <is>
          <t>India GHG Program 2024</t>
        </is>
      </c>
    </row>
    <row r="24" ht="23.25" customHeight="1" s="33">
      <c r="A24" s="56" t="inlineStr">
        <is>
          <t>Air_International</t>
        </is>
      </c>
      <c r="B24" s="56" t="n">
        <v>0.117</v>
      </c>
      <c r="C24" s="56" t="inlineStr">
        <is>
          <t>DEFRA/DESNZ 2025 UK Government GHG Conversion Factors -- long-haul economy, with radiative forcing (kgCO2e/passenger-km)</t>
        </is>
      </c>
      <c r="D24" s="57" t="inlineStr">
        <is>
          <t>Fixed Factor</t>
        </is>
      </c>
      <c r="E24" s="58" t="inlineStr">
        <is>
          <t>DEFRA/DESNZ 2025</t>
        </is>
      </c>
    </row>
    <row r="25" ht="15" customHeight="1" s="33">
      <c r="A25" s="56" t="inlineStr">
        <is>
          <t>Air_Freight_Cargo</t>
        </is>
      </c>
      <c r="B25" s="56" t="n">
        <v>1.58</v>
      </c>
      <c r="C25" s="56" t="inlineStr">
        <is>
          <t>India GHG Program (kgCO2/tonne-km)</t>
        </is>
      </c>
      <c r="D25" s="57" t="inlineStr">
        <is>
          <t>Fixed Factor</t>
        </is>
      </c>
      <c r="E25" s="58" t="inlineStr">
        <is>
          <t>India GHG Program 2024</t>
        </is>
      </c>
    </row>
    <row r="26" ht="15" customHeight="1" s="33">
      <c r="A26" s="56" t="inlineStr">
        <is>
          <t>Taxi_Diesel</t>
        </is>
      </c>
      <c r="B26" s="56" t="n">
        <v>0.14</v>
      </c>
      <c r="C26" s="56" t="inlineStr">
        <is>
          <t>India GHG Program (kgCO2/km)</t>
        </is>
      </c>
      <c r="D26" s="57" t="inlineStr">
        <is>
          <t>Fixed Factor</t>
        </is>
      </c>
      <c r="E26" s="58" t="inlineStr">
        <is>
          <t>India GHG Program 2024</t>
        </is>
      </c>
    </row>
    <row r="27" ht="15" customHeight="1" s="33">
      <c r="A27" s="56" t="inlineStr">
        <is>
          <t>Commute_2Wheeler</t>
        </is>
      </c>
      <c r="B27" s="56" t="n">
        <v>0.04</v>
      </c>
      <c r="C27" s="56" t="inlineStr">
        <is>
          <t>Scooter/Bike Avg (kgCO2/km)</t>
        </is>
      </c>
      <c r="D27" s="57" t="inlineStr">
        <is>
          <t>Fixed Factor</t>
        </is>
      </c>
      <c r="E27" s="58" t="inlineStr">
        <is>
          <t>India GHG Program 2024</t>
        </is>
      </c>
    </row>
    <row r="28" ht="15" customHeight="1" s="33">
      <c r="A28" s="56" t="inlineStr">
        <is>
          <t>Commute_Car_Avg</t>
        </is>
      </c>
      <c r="B28" s="56" t="n">
        <v>0.14</v>
      </c>
      <c r="C28" s="56" t="inlineStr">
        <is>
          <t>Avg Small Car (kgCO2/km)</t>
        </is>
      </c>
      <c r="D28" s="57" t="inlineStr">
        <is>
          <t>Fixed Factor</t>
        </is>
      </c>
      <c r="E28" s="58" t="inlineStr">
        <is>
          <t>India GHG Program 2024</t>
        </is>
      </c>
    </row>
    <row r="29" ht="15" customHeight="1" s="33">
      <c r="A29" s="56" t="inlineStr">
        <is>
          <t>Commute_Car_Small</t>
        </is>
      </c>
      <c r="B29" s="56" t="n">
        <v>0.11</v>
      </c>
      <c r="C29" s="56" t="inlineStr">
        <is>
          <t>Small Car Segment (kgCO2/km)</t>
        </is>
      </c>
      <c r="D29" s="57" t="inlineStr">
        <is>
          <t>Fixed Factor</t>
        </is>
      </c>
      <c r="E29" s="58" t="inlineStr">
        <is>
          <t>India GHG Program 2024</t>
        </is>
      </c>
    </row>
    <row r="30" ht="15" customHeight="1" s="33">
      <c r="A30" s="56" t="inlineStr">
        <is>
          <t>Commute_Car_Large</t>
        </is>
      </c>
      <c r="B30" s="56" t="n">
        <v>0.17</v>
      </c>
      <c r="C30" s="56" t="inlineStr">
        <is>
          <t>Large Car Segment (kgCO2/km)</t>
        </is>
      </c>
      <c r="D30" s="57" t="inlineStr">
        <is>
          <t>Fixed Factor</t>
        </is>
      </c>
      <c r="E30" s="58" t="inlineStr">
        <is>
          <t>India GHG Program 2024</t>
        </is>
      </c>
    </row>
    <row r="31" ht="15" customHeight="1" s="33">
      <c r="A31" s="56" t="inlineStr">
        <is>
          <t>Commute_Bus</t>
        </is>
      </c>
      <c r="B31" s="56" t="n">
        <v>0.03</v>
      </c>
      <c r="C31" s="56" t="inlineStr">
        <is>
          <t>City Bus Service (kgCO2/p-km)</t>
        </is>
      </c>
      <c r="D31" s="57" t="inlineStr">
        <is>
          <t>Fixed Factor</t>
        </is>
      </c>
      <c r="E31" s="58" t="inlineStr">
        <is>
          <t>India GHG Program 2024</t>
        </is>
      </c>
    </row>
    <row r="32" ht="15" customHeight="1" s="33">
      <c r="A32" s="56" t="inlineStr">
        <is>
          <t>Metro_Rail</t>
        </is>
      </c>
      <c r="B32" s="56" t="n">
        <v>0.015</v>
      </c>
      <c r="C32" s="56" t="inlineStr">
        <is>
          <t>Metro Rail (kgCO2/p-km)</t>
        </is>
      </c>
      <c r="D32" s="57" t="inlineStr">
        <is>
          <t>Fixed Factor</t>
        </is>
      </c>
      <c r="E32" s="58" t="inlineStr">
        <is>
          <t>India GHG Program 2024</t>
        </is>
      </c>
    </row>
    <row r="33" ht="15" customHeight="1" s="33">
      <c r="A33" s="56" t="inlineStr">
        <is>
          <t>Waste_Landfill</t>
        </is>
      </c>
      <c r="B33" s="56" t="n">
        <v>0.85</v>
      </c>
      <c r="C33" s="56" t="inlineStr">
        <is>
          <t>Indian Landfill Methane (kgCO2e/kg waste)</t>
        </is>
      </c>
      <c r="D33" s="57" t="inlineStr">
        <is>
          <t>Fixed Factor</t>
        </is>
      </c>
      <c r="E33" s="58" t="inlineStr">
        <is>
          <t>India GHG Program 2024</t>
        </is>
      </c>
    </row>
    <row r="34" ht="15" customHeight="1" s="33">
      <c r="A34" s="56" t="inlineStr">
        <is>
          <t>Waste_Recycle</t>
        </is>
      </c>
      <c r="B34" s="56" t="n">
        <v>0.021</v>
      </c>
      <c r="C34" s="56" t="inlineStr">
        <is>
          <t>Transport energy only (kgCO2/kg)</t>
        </is>
      </c>
      <c r="D34" s="57" t="inlineStr">
        <is>
          <t>Fixed Factor</t>
        </is>
      </c>
      <c r="E34" s="58" t="inlineStr">
        <is>
          <t>India GHG Program 2024</t>
        </is>
      </c>
    </row>
    <row r="35" ht="15" customHeight="1" s="33">
      <c r="A35" s="56" t="inlineStr">
        <is>
          <t>Waste_Incineration</t>
        </is>
      </c>
      <c r="B35" s="56" t="n">
        <v>0.4</v>
      </c>
      <c r="C35" s="56" t="inlineStr">
        <is>
          <t>India GHG Program estimate (kgCO2e/kg) -- verify locally</t>
        </is>
      </c>
      <c r="D35" s="57" t="inlineStr">
        <is>
          <t>Fixed Factor</t>
        </is>
      </c>
      <c r="E35" s="58" t="inlineStr">
        <is>
          <t>India GHG Program 2024</t>
        </is>
      </c>
    </row>
    <row r="36" ht="15" customHeight="1" s="33">
      <c r="A36" s="56" t="inlineStr">
        <is>
          <t>Wastewater_Treatment</t>
        </is>
      </c>
      <c r="B36" s="56" t="n">
        <v>0.708</v>
      </c>
      <c r="C36" s="56" t="inlineStr">
        <is>
          <t>India GHG Program (kgCO2/m3)</t>
        </is>
      </c>
      <c r="D36" s="57" t="inlineStr">
        <is>
          <t>Fixed Factor</t>
        </is>
      </c>
      <c r="E36" s="58" t="inlineStr">
        <is>
          <t>India GHG Program 2024</t>
        </is>
      </c>
    </row>
    <row r="37" ht="45.75" customHeight="1" s="33">
      <c r="A37" s="56" t="inlineStr">
        <is>
          <t>Water_Supply</t>
        </is>
      </c>
      <c r="B37" s="56" t="n">
        <v>0.31</v>
      </c>
      <c r="C37" s="56" t="inlineStr">
        <is>
          <t>Cross-validated against international benchmarks: NZ Water Sector 2020/21 national methodology (~1.6-2.8 MJ/m3 energy intensity) and US LCA estimates (0.34-0.46 kgCO2/m3) both converge near this value -- no India-specific published factor exists; treat as an international proxy, not an India-measured figure</t>
        </is>
      </c>
      <c r="D37" s="57" t="inlineStr">
        <is>
          <t>Fixed Factor</t>
        </is>
      </c>
      <c r="E37" s="58" t="inlineStr">
        <is>
          <t>International proxy 2020-21; no India-specific; review 2026</t>
        </is>
      </c>
    </row>
    <row r="38" ht="15" customHeight="1" s="33">
      <c r="A38" s="56" t="inlineStr">
        <is>
          <t>Paper_Virgin</t>
        </is>
      </c>
      <c r="B38" s="56" t="n">
        <v>0.92</v>
      </c>
      <c r="C38" s="56" t="inlineStr">
        <is>
          <t>India GHG Program (kgCO2/kg)</t>
        </is>
      </c>
      <c r="D38" s="57" t="inlineStr">
        <is>
          <t>Fixed Factor</t>
        </is>
      </c>
      <c r="E38" s="58" t="inlineStr">
        <is>
          <t>India GHG Program 2024</t>
        </is>
      </c>
    </row>
    <row r="39" ht="15" customHeight="1" s="33">
      <c r="A39" s="56" t="inlineStr">
        <is>
          <t>Paper_Recycled</t>
        </is>
      </c>
      <c r="B39" s="56" t="n">
        <v>0.6</v>
      </c>
      <c r="C39" s="56" t="inlineStr">
        <is>
          <t>India GHG Program (kgCO2/kg)</t>
        </is>
      </c>
      <c r="D39" s="57" t="inlineStr">
        <is>
          <t>Fixed Factor</t>
        </is>
      </c>
      <c r="E39" s="58" t="inlineStr">
        <is>
          <t>India GHG Program 2024</t>
        </is>
      </c>
    </row>
    <row r="40" ht="15" customHeight="1" s="33">
      <c r="A40" s="56" t="inlineStr">
        <is>
          <t>Plastic_Packaging</t>
        </is>
      </c>
      <c r="B40" s="56" t="n">
        <v>2.5</v>
      </c>
      <c r="C40" s="56" t="inlineStr">
        <is>
          <t>India GHG Program (kgCO2/kg)</t>
        </is>
      </c>
      <c r="D40" s="57" t="inlineStr">
        <is>
          <t>Fixed Factor</t>
        </is>
      </c>
      <c r="E40" s="58" t="inlineStr">
        <is>
          <t>India GHG Program 2024</t>
        </is>
      </c>
    </row>
    <row r="41" ht="45.75" customHeight="1" s="33">
      <c r="A41" s="56" t="inlineStr">
        <is>
          <t>Construction_Steel</t>
        </is>
      </c>
      <c r="B41" s="56" t="n">
        <v>2.33</v>
      </c>
      <c r="C41" s="56" t="inlineStr">
        <is>
          <t>World Steel Association -- integrated mill (BOF) production route (kgCO2e/kg); India's steel sector is majority BOF/integrated-mill with lower recycled content than EU/UK, so integrated-mill figure is the more representative default -- verify against specific supplier EPD where available</t>
        </is>
      </c>
      <c r="D41" s="57" t="inlineStr">
        <is>
          <t>Fixed Factor</t>
        </is>
      </c>
      <c r="E41" s="58" t="inlineStr">
        <is>
          <t>World Steel Association 2023</t>
        </is>
      </c>
    </row>
    <row r="42" ht="15" customHeight="1" s="33">
      <c r="A42" s="56" t="inlineStr">
        <is>
          <t>Cement_Portland</t>
        </is>
      </c>
      <c r="B42" s="56" t="n">
        <v>0.9</v>
      </c>
      <c r="C42" s="56" t="inlineStr">
        <is>
          <t>India GHG Program (kgCO2/kg)</t>
        </is>
      </c>
      <c r="D42" s="57" t="inlineStr">
        <is>
          <t>Fixed Factor</t>
        </is>
      </c>
      <c r="E42" s="58" t="inlineStr">
        <is>
          <t>India GHG Program 2024</t>
        </is>
      </c>
    </row>
    <row r="43" ht="23.25" customHeight="1" s="33">
      <c r="A43" s="56" t="inlineStr">
        <is>
          <t>Spend_IT</t>
        </is>
      </c>
      <c r="B43" s="56" t="n">
        <v>0.005</v>
      </c>
      <c r="C43" s="56" t="inlineStr">
        <is>
          <t>Proxy: 5 tCO2 per Million INR spend</t>
        </is>
      </c>
      <c r="D43" s="59" t="inlineStr">
        <is>
          <t>Proxy - Low Confidence (fallback only)</t>
        </is>
      </c>
      <c r="E43" s="58" t="inlineStr">
        <is>
          <t>Proxy 2023 — LOW CONFIDENCE; refresh if supplier PCFs available</t>
        </is>
      </c>
    </row>
    <row r="44" ht="23.25" customHeight="1" s="33">
      <c r="A44" s="56" t="inlineStr">
        <is>
          <t>Spend_Construction</t>
        </is>
      </c>
      <c r="B44" s="56" t="n">
        <v>0.012</v>
      </c>
      <c r="C44" s="56" t="inlineStr">
        <is>
          <t>Proxy: 12 tCO2 per Million INR spend</t>
        </is>
      </c>
      <c r="D44" s="59" t="inlineStr">
        <is>
          <t>Proxy - Low Confidence (fallback only)</t>
        </is>
      </c>
      <c r="E44" s="58" t="inlineStr">
        <is>
          <t>Proxy 2023 — LOW CONFIDENCE; refresh if supplier PCFs available</t>
        </is>
      </c>
    </row>
    <row r="45" ht="23.25" customHeight="1" s="33">
      <c r="A45" s="56" t="inlineStr">
        <is>
          <t>Spend_Generic_Services</t>
        </is>
      </c>
      <c r="B45" s="56" t="n">
        <v>0.003</v>
      </c>
      <c r="C45" s="56" t="inlineStr">
        <is>
          <t>Proxy: 3 tCO2 per Million INR spend -- use only where no better data exists</t>
        </is>
      </c>
      <c r="D45" s="59" t="inlineStr">
        <is>
          <t>Proxy - Low Confidence (fallback only)</t>
        </is>
      </c>
      <c r="E45" s="58" t="inlineStr">
        <is>
          <t>Proxy 2023 — LOW CONFIDENCE; refresh if supplier PCFs available</t>
        </is>
      </c>
    </row>
    <row r="46" ht="15" customHeight="1" s="33">
      <c r="A46" s="56" t="inlineStr">
        <is>
          <t>Laptop_Unit</t>
        </is>
      </c>
      <c r="B46" s="56" t="n">
        <v>250</v>
      </c>
      <c r="C46" s="56" t="inlineStr">
        <is>
          <t>Embodied carbon per unit (kgCO2e/unit)</t>
        </is>
      </c>
      <c r="D46" s="57" t="inlineStr">
        <is>
          <t>Fixed Factor</t>
        </is>
      </c>
      <c r="E46" s="58" t="inlineStr">
        <is>
          <t>Manufacturer LCA data 2023 avg</t>
        </is>
      </c>
    </row>
    <row r="47" ht="15" customHeight="1" s="33">
      <c r="A47" s="56" t="inlineStr">
        <is>
          <t>Desktop_Unit</t>
        </is>
      </c>
      <c r="B47" s="56" t="n">
        <v>350</v>
      </c>
      <c r="C47" s="56" t="inlineStr">
        <is>
          <t>Embodied carbon per unit (kgCO2e/unit)</t>
        </is>
      </c>
      <c r="D47" s="57" t="inlineStr">
        <is>
          <t>Fixed Factor</t>
        </is>
      </c>
      <c r="E47" s="58" t="inlineStr">
        <is>
          <t>Manufacturer LCA data 2023 avg</t>
        </is>
      </c>
    </row>
    <row r="48" ht="15" customHeight="1" s="33">
      <c r="A48" s="56" t="inlineStr">
        <is>
          <t>Smartphone_Unit</t>
        </is>
      </c>
      <c r="B48" s="56" t="n">
        <v>65</v>
      </c>
      <c r="C48" s="56" t="inlineStr">
        <is>
          <t>Embodied carbon per unit (kgCO2e/unit)</t>
        </is>
      </c>
      <c r="D48" s="57" t="inlineStr">
        <is>
          <t>Fixed Factor</t>
        </is>
      </c>
      <c r="E48" s="58" t="inlineStr">
        <is>
          <t>Manufacturer LCA data 2023 avg</t>
        </is>
      </c>
    </row>
    <row r="49" ht="15" customHeight="1" s="33">
      <c r="A49" s="56" t="inlineStr">
        <is>
          <t>Furniture</t>
        </is>
      </c>
      <c r="B49" s="56" t="n">
        <v>3.5</v>
      </c>
      <c r="C49" s="56" t="inlineStr">
        <is>
          <t>Office furniture (kgCO2/kg)</t>
        </is>
      </c>
      <c r="D49" s="57" t="inlineStr">
        <is>
          <t>Fixed Factor</t>
        </is>
      </c>
      <c r="E49" s="58" t="inlineStr">
        <is>
          <t>India GHG Program 2024</t>
        </is>
      </c>
    </row>
    <row r="50" ht="45.75" customHeight="1" s="33">
      <c r="A50" s="56" t="inlineStr">
        <is>
          <t>Grid_TD_Loss</t>
        </is>
      </c>
      <c r="B50" s="56" t="n">
        <v>0.1459</v>
      </c>
      <c r="C50" s="56" t="inlineStr">
        <is>
          <t>India GHG Program base CO2 factor (0.145) + ~0.6% CH4/N2O uplift per US EPA GHG Equivalencies methodology (2024) = 0.1459 kgCO2e -- uplift is a documented approximation (CO2 is &gt;99% of combustion CO2e per EPA), not an India-specific measured N2O/CH4 split</t>
        </is>
      </c>
      <c r="D50" s="57" t="inlineStr">
        <is>
          <t>Fixed Factor</t>
        </is>
      </c>
      <c r="E50" s="58" t="inlineStr">
        <is>
          <t>CEA 2022-23 (published 2024)</t>
        </is>
      </c>
    </row>
    <row r="51" ht="45.75" customHeight="1" s="33">
      <c r="A51" s="56" t="inlineStr">
        <is>
          <t>WTT_Diesel</t>
        </is>
      </c>
      <c r="B51" s="56" t="n">
        <v>0.5835</v>
      </c>
      <c r="C51" s="56" t="inlineStr">
        <is>
          <t>India GHG Program base CO2 factor (0.58) + ~0.6% CH4/N2O uplift per US EPA GHG Equivalencies methodology (2024) = 0.5835 kgCO2e -- uplift is a documented approximation (CO2 is &gt;99% of combustion CO2e per EPA), not an India-specific measured N2O/CH4 split</t>
        </is>
      </c>
      <c r="D51" s="57" t="inlineStr">
        <is>
          <t>Fixed Factor</t>
        </is>
      </c>
      <c r="E51" s="58" t="inlineStr">
        <is>
          <t>India GHG Program 2024</t>
        </is>
      </c>
    </row>
    <row r="52" ht="45.75" customHeight="1" s="33">
      <c r="A52" s="56" t="inlineStr">
        <is>
          <t>WTT_Petrol</t>
        </is>
      </c>
      <c r="B52" s="56" t="n">
        <v>0.4628</v>
      </c>
      <c r="C52" s="56" t="inlineStr">
        <is>
          <t>India GHG Program base CO2 factor (0.46) + ~0.6% CH4/N2O uplift per US EPA GHG Equivalencies methodology (2024) = 0.4628 kgCO2e -- uplift is a documented approximation (CO2 is &gt;99% of combustion CO2e per EPA), not an India-specific measured N2O/CH4 split</t>
        </is>
      </c>
      <c r="D52" s="57" t="inlineStr">
        <is>
          <t>Fixed Factor</t>
        </is>
      </c>
      <c r="E52" s="58" t="inlineStr">
        <is>
          <t>India GHG Program 2024</t>
        </is>
      </c>
    </row>
    <row r="53" ht="15" customHeight="1" s="33">
      <c r="A53" s="56" t="inlineStr">
        <is>
          <t>Hotel_5Star</t>
        </is>
      </c>
      <c r="B53" s="56" t="n">
        <v>75.5</v>
      </c>
      <c r="C53" s="56" t="inlineStr">
        <is>
          <t>India GHG Program (kgCO2e/night)</t>
        </is>
      </c>
      <c r="D53" s="57" t="inlineStr">
        <is>
          <t>Fixed Factor</t>
        </is>
      </c>
      <c r="E53" s="58" t="inlineStr">
        <is>
          <t>India GHG Program 2024</t>
        </is>
      </c>
    </row>
    <row r="54" ht="15" customHeight="1" s="33">
      <c r="A54" s="56" t="inlineStr">
        <is>
          <t>Hotel_Budget</t>
        </is>
      </c>
      <c r="B54" s="56" t="n">
        <v>25</v>
      </c>
      <c r="C54" s="56" t="inlineStr">
        <is>
          <t>India GHG Program (kgCO2e/night)</t>
        </is>
      </c>
      <c r="D54" s="57" t="inlineStr">
        <is>
          <t>Fixed Factor</t>
        </is>
      </c>
      <c r="E54" s="58" t="inlineStr">
        <is>
          <t>India GHG Program 2024</t>
        </is>
      </c>
    </row>
    <row r="55" ht="15" customHeight="1" s="33">
      <c r="A55" s="56" t="inlineStr">
        <is>
          <t>Financed_Emissions_Passthrough</t>
        </is>
      </c>
      <c r="B55" s="56" t="n">
        <v>1</v>
      </c>
      <c r="C55" s="56" t="inlineStr">
        <is>
          <t>Direct pass-through of reported financed emissions (tCO2e/tCO2e)</t>
        </is>
      </c>
      <c r="D55" s="57" t="inlineStr">
        <is>
          <t>Fixed Factor</t>
        </is>
      </c>
      <c r="E55" s="58" t="inlineStr">
        <is>
          <t>Direct pass-through; always current</t>
        </is>
      </c>
    </row>
    <row r="57" ht="45" customHeight="1" s="33">
      <c r="A57" s="60" t="inlineStr">
        <is>
          <t>Note: six placeholder factors from v6 (Product_Use_Phase_Energy, Product_EndOfLife, Investment_Equity_Share, Franchise_Estimate, Leased_Asset_Downstream, Processing_Sold_Products_Proxy) have been removed from this table. A single generic factor cannot legitimately represent these — see the Scope3_Hard_Categories tab, where each is replaced with a formula driven by your own company/product data.</t>
        </is>
      </c>
    </row>
  </sheetData>
  <mergeCells count="1">
    <mergeCell ref="A57:D5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9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32" min="1" max="1"/>
    <col width="14" customWidth="1" style="32" min="2" max="2"/>
    <col width="12" customWidth="1" style="32" min="3" max="3"/>
    <col width="16" customWidth="1" style="32" min="4" max="4"/>
    <col width="26" customWidth="1" style="32" min="5" max="5"/>
    <col width="14" customWidth="1" style="32" min="6" max="6"/>
    <col width="34" customWidth="1" style="32" min="7" max="7"/>
  </cols>
  <sheetData>
    <row r="1" ht="26.25" customHeight="1" s="33">
      <c r="A1" s="54" t="inlineStr">
        <is>
          <t>Category / Item</t>
        </is>
      </c>
      <c r="B1" s="54" t="inlineStr">
        <is>
          <t>Quantity (Input)</t>
        </is>
      </c>
      <c r="C1" s="54" t="inlineStr">
        <is>
          <t>Unit</t>
        </is>
      </c>
      <c r="D1" s="54" t="inlineStr">
        <is>
          <t>Emission Factor (live)</t>
        </is>
      </c>
      <c r="E1" s="61" t="inlineStr">
        <is>
          <t>Data Quality Tier
(set in Data_Quality_Scoring tab)</t>
        </is>
      </c>
      <c r="F1" s="54" t="inlineStr">
        <is>
          <t>Result (tCO2e)</t>
        </is>
      </c>
      <c r="G1" s="54" t="inlineStr">
        <is>
          <t>Flag</t>
        </is>
      </c>
    </row>
    <row r="2" ht="15" customHeight="1" s="33">
      <c r="A2" s="54" t="inlineStr">
        <is>
          <t>SCOPE 1 - DIRECT EMISSIONS</t>
        </is>
      </c>
    </row>
    <row r="3" ht="24.75" customHeight="1" s="33">
      <c r="A3" s="62" t="inlineStr">
        <is>
          <t>Category / Item</t>
        </is>
      </c>
      <c r="B3" s="62" t="inlineStr">
        <is>
          <t>Quantity (Input)</t>
        </is>
      </c>
      <c r="C3" s="62" t="inlineStr">
        <is>
          <t>Unit</t>
        </is>
      </c>
      <c r="D3" s="62" t="inlineStr">
        <is>
          <t>Emission Factor (live)</t>
        </is>
      </c>
      <c r="E3" s="62" t="inlineStr">
        <is>
          <t>Data Quality</t>
        </is>
      </c>
      <c r="F3" s="62" t="inlineStr">
        <is>
          <t>Result (tCO2e)</t>
        </is>
      </c>
      <c r="G3" s="62" t="inlineStr">
        <is>
          <t>Flag</t>
        </is>
      </c>
    </row>
    <row r="4" ht="15" customHeight="1" s="33">
      <c r="A4" s="63" t="inlineStr">
        <is>
          <t>Stationary Combustion</t>
        </is>
      </c>
      <c r="B4" s="32" t="n">
        <v>0</v>
      </c>
      <c r="E4" s="32" t="inlineStr">
        <is>
          <t>Not Yet Assessed</t>
        </is>
      </c>
    </row>
    <row r="5" ht="15" customHeight="1" s="33">
      <c r="A5" s="64" t="inlineStr">
        <is>
          <t>Diesel Generator (DG Sets)</t>
        </is>
      </c>
      <c r="B5" s="65" t="n">
        <v>0</v>
      </c>
      <c r="C5" s="64" t="inlineStr">
        <is>
          <t>Liters</t>
        </is>
      </c>
      <c r="D5" s="64">
        <f>VLOOKUP("Diesel_Fuel", DB_Master!$A:$B, 2, 0)</f>
        <v/>
      </c>
      <c r="E5" s="66">
        <f>IF(Data_Quality_Scoring!J10="","Not Yet Scored",IF(Data_Quality_Scoring!J10&lt;=2,"High ✓",IF(Data_Quality_Scoring!J10&lt;=3.5,"Medium","Low ⚠")))</f>
        <v/>
      </c>
      <c r="F5" s="64">
        <f>IF(B5=0,0,(B5*D5)/1000)</f>
        <v/>
      </c>
      <c r="G5" s="67">
        <f>IF(AND(B5&gt;0,Data_Quality_Scoring!J10=""),"Quantity entered but Pedigree not yet scored in Data_Quality_Scoring tab",IF(AND(B5&gt;0,D5=0),"Zero emission factor — check DB_Master slug",""))</f>
        <v/>
      </c>
    </row>
    <row r="6" ht="15" customHeight="1" s="33">
      <c r="A6" s="64" t="inlineStr">
        <is>
          <t>Furnace Oil (Boilers)</t>
        </is>
      </c>
      <c r="B6" s="65" t="n">
        <v>0</v>
      </c>
      <c r="C6" s="64" t="inlineStr">
        <is>
          <t>Liters</t>
        </is>
      </c>
      <c r="D6" s="64">
        <f>VLOOKUP("Furnace_Oil", DB_Master!$A:$B, 2, 0)</f>
        <v/>
      </c>
      <c r="E6" s="66">
        <f>IF(Data_Quality_Scoring!J11="","Not Yet Scored",IF(Data_Quality_Scoring!J11&lt;=2,"High ✓",IF(Data_Quality_Scoring!J11&lt;=3.5,"Medium","Low ⚠")))</f>
        <v/>
      </c>
      <c r="F6" s="64">
        <f>IF(B6=0,0,(B6*D6)/1000)</f>
        <v/>
      </c>
      <c r="G6" s="67">
        <f>IF(AND(B6&gt;0,Data_Quality_Scoring!J11=""),"Quantity entered but Pedigree not yet scored in Data_Quality_Scoring tab",IF(AND(B6&gt;0,D6=0),"Zero emission factor — check DB_Master slug",""))</f>
        <v/>
      </c>
    </row>
    <row r="7" ht="15" customHeight="1" s="33">
      <c r="A7" s="64" t="inlineStr">
        <is>
          <t>Natural Gas</t>
        </is>
      </c>
      <c r="B7" s="65" t="n">
        <v>0</v>
      </c>
      <c r="C7" s="64" t="inlineStr">
        <is>
          <t>scm</t>
        </is>
      </c>
      <c r="D7" s="64">
        <f>VLOOKUP("Natural_Gas", DB_Master!$A:$B, 2, 0)</f>
        <v/>
      </c>
      <c r="E7" s="66">
        <f>IF(Data_Quality_Scoring!J12="","Not Yet Scored",IF(Data_Quality_Scoring!J12&lt;=2,"High ✓",IF(Data_Quality_Scoring!J12&lt;=3.5,"Medium","Low ⚠")))</f>
        <v/>
      </c>
      <c r="F7" s="64">
        <f>IF(B7=0,0,(B7*D7)/1000)</f>
        <v/>
      </c>
      <c r="G7" s="67">
        <f>IF(AND(B7&gt;0,Data_Quality_Scoring!J12=""),"Quantity entered but Pedigree not yet scored in Data_Quality_Scoring tab",IF(AND(B7&gt;0,D7=0),"Zero emission factor — check DB_Master slug",""))</f>
        <v/>
      </c>
    </row>
    <row r="8" ht="15" customHeight="1" s="33">
      <c r="A8" s="64" t="inlineStr">
        <is>
          <t>Indian Coal (Boilers)</t>
        </is>
      </c>
      <c r="B8" s="65" t="n">
        <v>0</v>
      </c>
      <c r="C8" s="64" t="inlineStr">
        <is>
          <t>kg</t>
        </is>
      </c>
      <c r="D8" s="64">
        <f>VLOOKUP("Coal_Indian", DB_Master!$A:$B, 2, 0)</f>
        <v/>
      </c>
      <c r="E8" s="66">
        <f>IF(Data_Quality_Scoring!J13="","Not Yet Scored",IF(Data_Quality_Scoring!J13&lt;=2,"High ✓",IF(Data_Quality_Scoring!J13&lt;=3.5,"Medium","Low ⚠")))</f>
        <v/>
      </c>
      <c r="F8" s="64">
        <f>IF(B8=0,0,(B8*D8)/1000)</f>
        <v/>
      </c>
      <c r="G8" s="67">
        <f>IF(AND(B8&gt;0,Data_Quality_Scoring!J13=""),"Quantity entered but Pedigree not yet scored in Data_Quality_Scoring tab",IF(AND(B8&gt;0,D8=0),"Zero emission factor — check DB_Master slug",""))</f>
        <v/>
      </c>
    </row>
    <row r="9" ht="15" customHeight="1" s="33">
      <c r="A9" s="64" t="inlineStr">
        <is>
          <t>Commercial LPG</t>
        </is>
      </c>
      <c r="B9" s="65" t="n">
        <v>0</v>
      </c>
      <c r="C9" s="64" t="inlineStr">
        <is>
          <t>kg</t>
        </is>
      </c>
      <c r="D9" s="64">
        <f>VLOOKUP("LPG_Commercial", DB_Master!$A:$B, 2, 0)</f>
        <v/>
      </c>
      <c r="E9" s="66">
        <f>IF(Data_Quality_Scoring!J14="","Not Yet Scored",IF(Data_Quality_Scoring!J14&lt;=2,"High ✓",IF(Data_Quality_Scoring!J14&lt;=3.5,"Medium","Low ⚠")))</f>
        <v/>
      </c>
      <c r="F9" s="64">
        <f>IF(B9=0,0,(B9*D9)/1000)</f>
        <v/>
      </c>
      <c r="G9" s="67">
        <f>IF(AND(B9&gt;0,Data_Quality_Scoring!J14=""),"Quantity entered but Pedigree not yet scored in Data_Quality_Scoring tab",IF(AND(B9&gt;0,D9=0),"Zero emission factor — check DB_Master slug",""))</f>
        <v/>
      </c>
    </row>
    <row r="10" ht="15" customHeight="1" s="33">
      <c r="A10" s="63" t="inlineStr">
        <is>
          <t>Mobile Combustion (Owned/Leased Vehicles)</t>
        </is>
      </c>
    </row>
    <row r="11" ht="15" customHeight="1" s="33">
      <c r="A11" s="64" t="inlineStr">
        <is>
          <t>Petrol Company Cars</t>
        </is>
      </c>
      <c r="B11" s="65" t="n">
        <v>0</v>
      </c>
      <c r="C11" s="64" t="inlineStr">
        <is>
          <t>Liters</t>
        </is>
      </c>
      <c r="D11" s="64">
        <f>VLOOKUP("Petrol_Fuel", DB_Master!$A:$B, 2, 0)</f>
        <v/>
      </c>
      <c r="E11" s="66">
        <f>IF(Data_Quality_Scoring!J15="","Not Yet Scored",IF(Data_Quality_Scoring!J15&lt;=2,"High ✓",IF(Data_Quality_Scoring!J15&lt;=3.5,"Medium","Low ⚠")))</f>
        <v/>
      </c>
      <c r="F11" s="64">
        <f>IF(B11=0,0,(B11*D11)/1000)</f>
        <v/>
      </c>
      <c r="G11" s="67">
        <f>IF(AND(B11&gt;0,Data_Quality_Scoring!J15=""),"Quantity entered but Pedigree not yet scored in Data_Quality_Scoring tab",IF(AND(B11&gt;0,D11=0),"Zero emission factor — check DB_Master slug",""))</f>
        <v/>
      </c>
    </row>
    <row r="12" ht="15" customHeight="1" s="33">
      <c r="A12" s="64" t="inlineStr">
        <is>
          <t>Diesel Company Vehicles</t>
        </is>
      </c>
      <c r="B12" s="65" t="n">
        <v>0</v>
      </c>
      <c r="C12" s="64" t="inlineStr">
        <is>
          <t>Liters</t>
        </is>
      </c>
      <c r="D12" s="64">
        <f>VLOOKUP("Diesel_Fuel", DB_Master!$A:$B, 2, 0)</f>
        <v/>
      </c>
      <c r="E12" s="66">
        <f>IF(Data_Quality_Scoring!J16="","Not Yet Scored",IF(Data_Quality_Scoring!J16&lt;=2,"High ✓",IF(Data_Quality_Scoring!J16&lt;=3.5,"Medium","Low ⚠")))</f>
        <v/>
      </c>
      <c r="F12" s="64">
        <f>IF(B12=0,0,(B12*D12)/1000)</f>
        <v/>
      </c>
      <c r="G12" s="67">
        <f>IF(AND(B12&gt;0,Data_Quality_Scoring!J16=""),"Quantity entered but Pedigree not yet scored in Data_Quality_Scoring tab",IF(AND(B12&gt;0,D12=0),"Zero emission factor — check DB_Master slug",""))</f>
        <v/>
      </c>
    </row>
    <row r="13" ht="15" customHeight="1" s="33">
      <c r="A13" s="64" t="inlineStr">
        <is>
          <t>CNG Vehicles</t>
        </is>
      </c>
      <c r="B13" s="65" t="n">
        <v>0</v>
      </c>
      <c r="C13" s="64" t="inlineStr">
        <is>
          <t>kg</t>
        </is>
      </c>
      <c r="D13" s="64">
        <f>VLOOKUP("CNG_Fuel", DB_Master!$A:$B, 2, 0)</f>
        <v/>
      </c>
      <c r="E13" s="66">
        <f>IF(Data_Quality_Scoring!J17="","Not Yet Scored",IF(Data_Quality_Scoring!J17&lt;=2,"High ✓",IF(Data_Quality_Scoring!J17&lt;=3.5,"Medium","Low ⚠")))</f>
        <v/>
      </c>
      <c r="F13" s="64">
        <f>IF(B13=0,0,(B13*D13)/1000)</f>
        <v/>
      </c>
      <c r="G13" s="67">
        <f>IF(AND(B13&gt;0,Data_Quality_Scoring!J17=""),"Quantity entered but Pedigree not yet scored in Data_Quality_Scoring tab",IF(AND(B13&gt;0,D13=0),"Zero emission factor — check DB_Master slug",""))</f>
        <v/>
      </c>
    </row>
    <row r="14" ht="15" customHeight="1" s="33">
      <c r="A14" s="63" t="inlineStr">
        <is>
          <t>Fugitive Emissions</t>
        </is>
      </c>
    </row>
    <row r="15" ht="15" customHeight="1" s="33">
      <c r="A15" s="64" t="inlineStr">
        <is>
          <t>Refrigerant Top-up - R-32</t>
        </is>
      </c>
      <c r="B15" s="65" t="n">
        <v>0</v>
      </c>
      <c r="C15" s="64" t="inlineStr">
        <is>
          <t>kg</t>
        </is>
      </c>
      <c r="D15" s="64">
        <f>VLOOKUP("Refrig_R32", DB_Master!$A:$B, 2, 0)</f>
        <v/>
      </c>
      <c r="E15" s="66">
        <f>IF(Data_Quality_Scoring!J18="","Not Yet Scored",IF(Data_Quality_Scoring!J18&lt;=2,"High ✓",IF(Data_Quality_Scoring!J18&lt;=3.5,"Medium","Low ⚠")))</f>
        <v/>
      </c>
      <c r="F15" s="64">
        <f>IF(B15=0,0,(B15*D15)/1000)</f>
        <v/>
      </c>
      <c r="G15" s="67">
        <f>IF(AND(B15&gt;0,Data_Quality_Scoring!J18=""),"Quantity entered but Pedigree not yet scored in Data_Quality_Scoring tab",IF(AND(B15&gt;0,D15=0),"Zero emission factor — check DB_Master slug",""))</f>
        <v/>
      </c>
    </row>
    <row r="16" ht="15" customHeight="1" s="33">
      <c r="A16" s="64" t="inlineStr">
        <is>
          <t>Refrigerant Top-up - R-410A</t>
        </is>
      </c>
      <c r="B16" s="65" t="n">
        <v>0</v>
      </c>
      <c r="C16" s="64" t="inlineStr">
        <is>
          <t>kg</t>
        </is>
      </c>
      <c r="D16" s="64">
        <f>VLOOKUP("Refrig_R410A", DB_Master!$A:$B, 2, 0)</f>
        <v/>
      </c>
      <c r="E16" s="66">
        <f>IF(Data_Quality_Scoring!J19="","Not Yet Scored",IF(Data_Quality_Scoring!J19&lt;=2,"High ✓",IF(Data_Quality_Scoring!J19&lt;=3.5,"Medium","Low ⚠")))</f>
        <v/>
      </c>
      <c r="F16" s="64">
        <f>IF(B16=0,0,(B16*D16)/1000)</f>
        <v/>
      </c>
      <c r="G16" s="67">
        <f>IF(AND(B16&gt;0,Data_Quality_Scoring!J19=""),"Quantity entered but Pedigree not yet scored in Data_Quality_Scoring tab",IF(AND(B16&gt;0,D16=0),"Zero emission factor — check DB_Master slug",""))</f>
        <v/>
      </c>
    </row>
    <row r="17" ht="15" customHeight="1" s="33">
      <c r="A17" s="64" t="inlineStr">
        <is>
          <t>Refrigerant Top-up - R-22</t>
        </is>
      </c>
      <c r="B17" s="65" t="n">
        <v>0</v>
      </c>
      <c r="C17" s="64" t="inlineStr">
        <is>
          <t>kg</t>
        </is>
      </c>
      <c r="D17" s="64">
        <f>VLOOKUP("Refrig_R22", DB_Master!$A:$B, 2, 0)</f>
        <v/>
      </c>
      <c r="E17" s="66">
        <f>IF(Data_Quality_Scoring!J20="","Not Yet Scored",IF(Data_Quality_Scoring!J20&lt;=2,"High ✓",IF(Data_Quality_Scoring!J20&lt;=3.5,"Medium","Low ⚠")))</f>
        <v/>
      </c>
      <c r="F17" s="64">
        <f>IF(B17=0,0,(B17*D17)/1000)</f>
        <v/>
      </c>
      <c r="G17" s="67">
        <f>IF(AND(B17&gt;0,Data_Quality_Scoring!J20=""),"Quantity entered but Pedigree not yet scored in Data_Quality_Scoring tab",IF(AND(B17&gt;0,D17=0),"Zero emission factor — check DB_Master slug",""))</f>
        <v/>
      </c>
    </row>
    <row r="18" ht="15" customHeight="1" s="33">
      <c r="A18" s="63" t="inlineStr">
        <is>
          <t>Process Emissions</t>
        </is>
      </c>
    </row>
    <row r="19" ht="15" customHeight="1" s="33">
      <c r="A19" s="64" t="inlineStr">
        <is>
          <t>Acetylene Welding</t>
        </is>
      </c>
      <c r="B19" s="65" t="n">
        <v>0</v>
      </c>
      <c r="C19" s="64" t="inlineStr">
        <is>
          <t>kg</t>
        </is>
      </c>
      <c r="D19" s="64">
        <f>VLOOKUP("Acetylene_Welding", DB_Master!$A:$B, 2, 0)</f>
        <v/>
      </c>
      <c r="E19" s="66">
        <f>IF(Data_Quality_Scoring!J21="","Not Yet Scored",IF(Data_Quality_Scoring!J21&lt;=2,"High ✓",IF(Data_Quality_Scoring!J21&lt;=3.5,"Medium","Low ⚠")))</f>
        <v/>
      </c>
      <c r="F19" s="64">
        <f>IF(B19=0,0,(B19*D19)/1000)</f>
        <v/>
      </c>
      <c r="G19" s="67">
        <f>IF(AND(B19&gt;0,Data_Quality_Scoring!J21=""),"Quantity entered but Pedigree not yet scored in Data_Quality_Scoring tab",IF(AND(B19&gt;0,D19=0),"Zero emission factor — check DB_Master slug",""))</f>
        <v/>
      </c>
    </row>
    <row r="20" ht="15" customHeight="1" s="33">
      <c r="A20" s="64" t="inlineStr">
        <is>
          <t>CO2 Fire Extinguisher Discharge</t>
        </is>
      </c>
      <c r="B20" s="65" t="n">
        <v>0</v>
      </c>
      <c r="C20" s="64" t="inlineStr">
        <is>
          <t>kg</t>
        </is>
      </c>
      <c r="D20" s="64">
        <f>VLOOKUP("Fire_Extinguisher_CO2", DB_Master!$A:$B, 2, 0)</f>
        <v/>
      </c>
      <c r="E20" s="66">
        <f>IF(Data_Quality_Scoring!J22="","Not Yet Scored",IF(Data_Quality_Scoring!J22&lt;=2,"High ✓",IF(Data_Quality_Scoring!J22&lt;=3.5,"Medium","Low ⚠")))</f>
        <v/>
      </c>
      <c r="F20" s="64">
        <f>IF(B20=0,0,(B20*D20)/1000)</f>
        <v/>
      </c>
      <c r="G20" s="67">
        <f>IF(AND(B20&gt;0,Data_Quality_Scoring!J22=""),"Quantity entered but Pedigree not yet scored in Data_Quality_Scoring tab",IF(AND(B20&gt;0,D20=0),"Zero emission factor — check DB_Master slug",""))</f>
        <v/>
      </c>
    </row>
    <row r="21"/>
    <row r="22" ht="15" customHeight="1" s="33">
      <c r="A22" s="68" t="inlineStr">
        <is>
          <t>SCOPE 1 TOTAL</t>
        </is>
      </c>
      <c r="B22" s="69" t="n"/>
      <c r="C22" s="69" t="n"/>
      <c r="D22" s="69" t="n"/>
      <c r="E22" s="69" t="n"/>
      <c r="F22" s="69">
        <f>SUM(F3:F21)</f>
        <v/>
      </c>
      <c r="G22" s="69" t="n"/>
    </row>
    <row r="23"/>
    <row r="24" ht="15" customHeight="1" s="33">
      <c r="A24" s="54" t="inlineStr">
        <is>
          <t>SCOPE 2 - PURCHASED ENERGY (Dual Reporting per GHG Protocol Scope 2 Guidance)</t>
        </is>
      </c>
    </row>
    <row r="25" ht="24.75" customHeight="1" s="33">
      <c r="A25" s="62" t="inlineStr">
        <is>
          <t>Category / Item</t>
        </is>
      </c>
      <c r="B25" s="62" t="inlineStr">
        <is>
          <t>Quantity (Input)</t>
        </is>
      </c>
      <c r="C25" s="62" t="inlineStr">
        <is>
          <t>Unit</t>
        </is>
      </c>
      <c r="D25" s="62" t="inlineStr">
        <is>
          <t>Emission Factor (live)</t>
        </is>
      </c>
      <c r="E25" s="62" t="inlineStr">
        <is>
          <t>Data Quality</t>
        </is>
      </c>
      <c r="F25" s="62" t="inlineStr">
        <is>
          <t>Result (tCO2e)</t>
        </is>
      </c>
      <c r="G25" s="62" t="inlineStr">
        <is>
          <t>Flag</t>
        </is>
      </c>
    </row>
    <row r="26" ht="15" customHeight="1" s="33">
      <c r="A26" s="63" t="inlineStr">
        <is>
          <t>Location-Based Method (grid average emission factor)</t>
        </is>
      </c>
    </row>
    <row r="27" ht="15" customHeight="1" s="33">
      <c r="A27" s="64" t="inlineStr">
        <is>
          <t>Office Electricity - Grid Average</t>
        </is>
      </c>
      <c r="B27" s="65" t="n">
        <v>0</v>
      </c>
      <c r="C27" s="64" t="inlineStr">
        <is>
          <t>kWh</t>
        </is>
      </c>
      <c r="D27" s="64">
        <f>VLOOKUP("Grid_India_CEA", DB_Master!$A:$B, 2, 0)</f>
        <v/>
      </c>
      <c r="E27" s="66">
        <f>IF(Data_Quality_Scoring!J24="","Not Yet Scored",IF(Data_Quality_Scoring!J24&lt;=2,"High ✓",IF(Data_Quality_Scoring!J24&lt;=3.5,"Medium","Low ⚠")))</f>
        <v/>
      </c>
      <c r="F27" s="64">
        <f>IF(B27=0,0,(B27*D27)/1000)</f>
        <v/>
      </c>
      <c r="G27" s="67">
        <f>IF(AND(B27&gt;0,Data_Quality_Scoring!J24=""),"Quantity entered but Pedigree not yet scored in Data_Quality_Scoring tab",IF(AND(B27&gt;0,D27=0),"Zero emission factor — check DB_Master slug",""))</f>
        <v/>
      </c>
    </row>
    <row r="28" ht="15" customHeight="1" s="33">
      <c r="A28" s="64" t="inlineStr">
        <is>
          <t>Factory Electricity - Grid Average</t>
        </is>
      </c>
      <c r="B28" s="65" t="n">
        <v>0</v>
      </c>
      <c r="C28" s="64" t="inlineStr">
        <is>
          <t>kWh</t>
        </is>
      </c>
      <c r="D28" s="64">
        <f>VLOOKUP("Grid_India_CEA", DB_Master!$A:$B, 2, 0)</f>
        <v/>
      </c>
      <c r="E28" s="66">
        <f>IF(Data_Quality_Scoring!J25="","Not Yet Scored",IF(Data_Quality_Scoring!J25&lt;=2,"High ✓",IF(Data_Quality_Scoring!J25&lt;=3.5,"Medium","Low ⚠")))</f>
        <v/>
      </c>
      <c r="F28" s="64">
        <f>IF(B28=0,0,(B28*D28)/1000)</f>
        <v/>
      </c>
      <c r="G28" s="67">
        <f>IF(AND(B28&gt;0,Data_Quality_Scoring!J25=""),"Quantity entered but Pedigree not yet scored in Data_Quality_Scoring tab",IF(AND(B28&gt;0,D28=0),"Zero emission factor — check DB_Master slug",""))</f>
        <v/>
      </c>
    </row>
    <row r="29" ht="15" customHeight="1" s="33">
      <c r="A29" s="64" t="inlineStr">
        <is>
          <t>Warehouse Electricity - Grid Average</t>
        </is>
      </c>
      <c r="B29" s="65" t="n">
        <v>0</v>
      </c>
      <c r="C29" s="64" t="inlineStr">
        <is>
          <t>kWh</t>
        </is>
      </c>
      <c r="D29" s="64">
        <f>VLOOKUP("Grid_India_CEA", DB_Master!$A:$B, 2, 0)</f>
        <v/>
      </c>
      <c r="E29" s="66">
        <f>IF(Data_Quality_Scoring!J26="","Not Yet Scored",IF(Data_Quality_Scoring!J26&lt;=2,"High ✓",IF(Data_Quality_Scoring!J26&lt;=3.5,"Medium","Low ⚠")))</f>
        <v/>
      </c>
      <c r="F29" s="64">
        <f>IF(B29=0,0,(B29*D29)/1000)</f>
        <v/>
      </c>
      <c r="G29" s="67">
        <f>IF(AND(B29&gt;0,Data_Quality_Scoring!J26=""),"Quantity entered but Pedigree not yet scored in Data_Quality_Scoring tab",IF(AND(B29&gt;0,D29=0),"Zero emission factor — check DB_Master slug",""))</f>
        <v/>
      </c>
    </row>
    <row r="30" ht="15" customHeight="1" s="33">
      <c r="A30" s="64" t="inlineStr">
        <is>
          <t>Purchased Steam</t>
        </is>
      </c>
      <c r="B30" s="65" t="n">
        <v>0</v>
      </c>
      <c r="C30" s="64" t="inlineStr">
        <is>
          <t>kg</t>
        </is>
      </c>
      <c r="D30" s="64">
        <f>VLOOKUP("Purchased_Steam", DB_Master!$A:$B, 2, 0)</f>
        <v/>
      </c>
      <c r="E30" s="66">
        <f>IF(Data_Quality_Scoring!J27="","Not Yet Scored",IF(Data_Quality_Scoring!J27&lt;=2,"High ✓",IF(Data_Quality_Scoring!J27&lt;=3.5,"Medium","Low ⚠")))</f>
        <v/>
      </c>
      <c r="F30" s="64">
        <f>IF(B30=0,0,(B30*D30)/1000)</f>
        <v/>
      </c>
      <c r="G30" s="67">
        <f>IF(AND(B30&gt;0,Data_Quality_Scoring!J27=""),"Quantity entered but Pedigree not yet scored in Data_Quality_Scoring tab",IF(AND(B30&gt;0,D30=0),"Zero emission factor — check DB_Master slug",""))</f>
        <v/>
      </c>
    </row>
    <row r="31"/>
    <row r="32" ht="15" customHeight="1" s="33">
      <c r="A32" s="68" t="inlineStr">
        <is>
          <t>SCOPE 2 TOTAL (Location-Based)</t>
        </is>
      </c>
      <c r="B32" s="69" t="n"/>
      <c r="C32" s="69" t="n"/>
      <c r="D32" s="69" t="n"/>
      <c r="E32" s="69" t="n"/>
      <c r="F32" s="69">
        <f>SUM(F25:F31)</f>
        <v/>
      </c>
      <c r="G32" s="69" t="n"/>
    </row>
    <row r="33"/>
    <row r="34" ht="15" customHeight="1" s="33">
      <c r="A34" s="63" t="inlineStr">
        <is>
          <t>Market-Based Method (supplier-specific / REC / residual mix)</t>
        </is>
      </c>
    </row>
    <row r="35" ht="15" customHeight="1" s="33">
      <c r="A35" s="64" t="inlineStr">
        <is>
          <t>Office Electricity - Supplier/Residual Mix</t>
        </is>
      </c>
      <c r="B35" s="65" t="n">
        <v>0</v>
      </c>
      <c r="C35" s="64" t="inlineStr">
        <is>
          <t>kWh</t>
        </is>
      </c>
      <c r="D35" s="64">
        <f>VLOOKUP("Grid_MarketBased_Default", DB_Master!$A:$B, 2, 0)</f>
        <v/>
      </c>
      <c r="E35" s="66">
        <f>IF(Data_Quality_Scoring!J29="","Not Yet Scored",IF(Data_Quality_Scoring!J29&lt;=2,"High ✓",IF(Data_Quality_Scoring!J29&lt;=3.5,"Medium","Low ⚠")))</f>
        <v/>
      </c>
      <c r="F35" s="64">
        <f>IF(B35=0,0,(B35*D35)/1000)</f>
        <v/>
      </c>
      <c r="G35" s="67">
        <f>IF(AND(B35&gt;0,Data_Quality_Scoring!J29=""),"Quantity entered but Pedigree not yet scored in Data_Quality_Scoring tab",IF(AND(B35&gt;0,D35=0),"Zero emission factor — check DB_Master slug",""))</f>
        <v/>
      </c>
    </row>
    <row r="36" ht="15" customHeight="1" s="33">
      <c r="A36" s="64" t="inlineStr">
        <is>
          <t>Factory Electricity - Supplier/Residual Mix</t>
        </is>
      </c>
      <c r="B36" s="65" t="n">
        <v>0</v>
      </c>
      <c r="C36" s="64" t="inlineStr">
        <is>
          <t>kWh</t>
        </is>
      </c>
      <c r="D36" s="64">
        <f>VLOOKUP("Grid_MarketBased_Default", DB_Master!$A:$B, 2, 0)</f>
        <v/>
      </c>
      <c r="E36" s="66">
        <f>IF(Data_Quality_Scoring!J30="","Not Yet Scored",IF(Data_Quality_Scoring!J30&lt;=2,"High ✓",IF(Data_Quality_Scoring!J30&lt;=3.5,"Medium","Low ⚠")))</f>
        <v/>
      </c>
      <c r="F36" s="64">
        <f>IF(B36=0,0,(B36*D36)/1000)</f>
        <v/>
      </c>
      <c r="G36" s="67">
        <f>IF(AND(B36&gt;0,Data_Quality_Scoring!J30=""),"Quantity entered but Pedigree not yet scored in Data_Quality_Scoring tab",IF(AND(B36&gt;0,D36=0),"Zero emission factor — check DB_Master slug",""))</f>
        <v/>
      </c>
    </row>
    <row r="37" ht="15" customHeight="1" s="33">
      <c r="A37" s="64" t="inlineStr">
        <is>
          <t>Renewable/REC-Backed Electricity Purchased</t>
        </is>
      </c>
      <c r="B37" s="65" t="n">
        <v>0</v>
      </c>
      <c r="C37" s="64" t="inlineStr">
        <is>
          <t>kWh</t>
        </is>
      </c>
      <c r="D37" s="64">
        <f>VLOOKUP("REC_Backed_Electricity", DB_Master!$A:$B, 2, 0)</f>
        <v/>
      </c>
      <c r="E37" s="65" t="inlineStr">
        <is>
          <t>Not Yet Assessed</t>
        </is>
      </c>
      <c r="F37" s="64">
        <f>IF(B37=0,0,(B37*D37)/1000)</f>
        <v/>
      </c>
      <c r="G37" s="70">
        <f>IF(AND(B37&gt;0,E37="Not Yet Assessed"),"Quantity entered but Data Quality not assessed",IF(AND(B37&gt;0,D37=0),"Zero emission factor - check DB_Master",""))</f>
        <v/>
      </c>
    </row>
    <row r="38"/>
    <row r="39" ht="15" customHeight="1" s="33">
      <c r="A39" s="68" t="inlineStr">
        <is>
          <t>SCOPE 2 TOTAL (Market-Based)</t>
        </is>
      </c>
      <c r="B39" s="69" t="n"/>
      <c r="C39" s="69" t="n"/>
      <c r="D39" s="69" t="n"/>
      <c r="E39" s="69" t="n"/>
      <c r="F39" s="69">
        <f>SUM(F33:F38)</f>
        <v/>
      </c>
      <c r="G39" s="69" t="n"/>
    </row>
    <row r="40"/>
    <row r="41" ht="15" customHeight="1" s="33">
      <c r="A41" s="54" t="inlineStr">
        <is>
          <t>SCOPE 3 - VALUE CHAIN (all 15 GHG Protocol categories)</t>
        </is>
      </c>
    </row>
    <row r="42" ht="24.75" customHeight="1" s="33">
      <c r="A42" s="62" t="inlineStr">
        <is>
          <t>Category / Item</t>
        </is>
      </c>
      <c r="B42" s="62" t="inlineStr">
        <is>
          <t>Quantity (Input)</t>
        </is>
      </c>
      <c r="C42" s="62" t="inlineStr">
        <is>
          <t>Unit</t>
        </is>
      </c>
      <c r="D42" s="62" t="inlineStr">
        <is>
          <t>Emission Factor (live)</t>
        </is>
      </c>
      <c r="E42" s="62" t="inlineStr">
        <is>
          <t>Data Quality</t>
        </is>
      </c>
      <c r="F42" s="62" t="inlineStr">
        <is>
          <t>Result (tCO2e)</t>
        </is>
      </c>
      <c r="G42" s="62" t="inlineStr">
        <is>
          <t>Flag</t>
        </is>
      </c>
    </row>
    <row r="43" ht="18" customHeight="1" s="33">
      <c r="A43" s="108" t="inlineStr">
        <is>
          <t>Category 1: Purchased Goods &amp; Services</t>
        </is>
      </c>
      <c r="B43" s="109" t="n"/>
      <c r="C43" s="109" t="n"/>
      <c r="D43" s="109" t="n"/>
      <c r="E43" s="109" t="n"/>
      <c r="F43" s="109" t="n"/>
      <c r="G43" s="110" t="n"/>
    </row>
    <row r="44" ht="15" customHeight="1" s="33">
      <c r="A44" s="64" t="inlineStr">
        <is>
          <t>IT / Professional Services (Spend)</t>
        </is>
      </c>
      <c r="B44" s="65" t="n">
        <v>0</v>
      </c>
      <c r="C44" s="64" t="inlineStr">
        <is>
          <t>INR</t>
        </is>
      </c>
      <c r="D44" s="64">
        <f>VLOOKUP("Spend_IT", DB_Master!$A:$B, 2, 0)</f>
        <v/>
      </c>
      <c r="E44" s="66">
        <f>IF(Data_Quality_Scoring!J32="","Not Yet Scored",IF(Data_Quality_Scoring!J32&lt;=2,"High ✓",IF(Data_Quality_Scoring!J32&lt;=3.5,"Medium","Low ⚠")))</f>
        <v/>
      </c>
      <c r="F44" s="64">
        <f>IF(B44=0,0,(B44*D44)/1000)</f>
        <v/>
      </c>
      <c r="G44" s="67">
        <f>IF(AND(B44&gt;0,Data_Quality_Scoring!J32=""),"Quantity entered but Pedigree not yet scored in Data_Quality_Scoring tab",IF(AND(B44&gt;0,D44=0),"Zero emission factor — check DB_Master slug",""))</f>
        <v/>
      </c>
    </row>
    <row r="45" ht="15" customHeight="1" s="33">
      <c r="A45" s="64" t="inlineStr">
        <is>
          <t>Construction / Repairs (Spend)</t>
        </is>
      </c>
      <c r="B45" s="65" t="n">
        <v>0</v>
      </c>
      <c r="C45" s="64" t="inlineStr">
        <is>
          <t>INR</t>
        </is>
      </c>
      <c r="D45" s="64">
        <f>VLOOKUP("Spend_Construction", DB_Master!$A:$B, 2, 0)</f>
        <v/>
      </c>
      <c r="E45" s="66">
        <f>IF(Data_Quality_Scoring!J33="","Not Yet Scored",IF(Data_Quality_Scoring!J33&lt;=2,"High ✓",IF(Data_Quality_Scoring!J33&lt;=3.5,"Medium","Low ⚠")))</f>
        <v/>
      </c>
      <c r="F45" s="64">
        <f>IF(B45=0,0,(B45*D45)/1000)</f>
        <v/>
      </c>
      <c r="G45" s="67">
        <f>IF(AND(B45&gt;0,Data_Quality_Scoring!J33=""),"Quantity entered but Pedigree not yet scored in Data_Quality_Scoring tab",IF(AND(B45&gt;0,D45=0),"Zero emission factor — check DB_Master slug",""))</f>
        <v/>
      </c>
    </row>
    <row r="46" ht="15" customHeight="1" s="33">
      <c r="A46" s="64" t="inlineStr">
        <is>
          <t>Generic Purchased Services (Spend)</t>
        </is>
      </c>
      <c r="B46" s="65" t="n">
        <v>0</v>
      </c>
      <c r="C46" s="64" t="inlineStr">
        <is>
          <t>INR</t>
        </is>
      </c>
      <c r="D46" s="64">
        <f>VLOOKUP("Spend_Generic_Services", DB_Master!$A:$B, 2, 0)</f>
        <v/>
      </c>
      <c r="E46" s="66">
        <f>IF(Data_Quality_Scoring!J34="","Not Yet Scored",IF(Data_Quality_Scoring!J34&lt;=2,"High ✓",IF(Data_Quality_Scoring!J34&lt;=3.5,"Medium","Low ⚠")))</f>
        <v/>
      </c>
      <c r="F46" s="64">
        <f>IF(B46=0,0,(B46*D46)/1000)</f>
        <v/>
      </c>
      <c r="G46" s="67">
        <f>IF(AND(B46&gt;0,Data_Quality_Scoring!J34=""),"Quantity entered but Pedigree not yet scored in Data_Quality_Scoring tab",IF(AND(B46&gt;0,D46=0),"Zero emission factor — check DB_Master slug",""))</f>
        <v/>
      </c>
    </row>
    <row r="47" ht="15" customHeight="1" s="33">
      <c r="A47" s="64" t="inlineStr">
        <is>
          <t>Virgin Paper Procurement</t>
        </is>
      </c>
      <c r="B47" s="65" t="n">
        <v>0</v>
      </c>
      <c r="C47" s="64" t="inlineStr">
        <is>
          <t>kg</t>
        </is>
      </c>
      <c r="D47" s="64">
        <f>VLOOKUP("Paper_Virgin", DB_Master!$A:$B, 2, 0)</f>
        <v/>
      </c>
      <c r="E47" s="66">
        <f>IF(Data_Quality_Scoring!J35="","Not Yet Scored",IF(Data_Quality_Scoring!J35&lt;=2,"High ✓",IF(Data_Quality_Scoring!J35&lt;=3.5,"Medium","Low ⚠")))</f>
        <v/>
      </c>
      <c r="F47" s="64">
        <f>IF(B47=0,0,(B47*D47)/1000)</f>
        <v/>
      </c>
      <c r="G47" s="67">
        <f>IF(AND(B47&gt;0,Data_Quality_Scoring!J35=""),"Quantity entered but Pedigree not yet scored in Data_Quality_Scoring tab",IF(AND(B47&gt;0,D47=0),"Zero emission factor — check DB_Master slug",""))</f>
        <v/>
      </c>
    </row>
    <row r="48" ht="15" customHeight="1" s="33">
      <c r="A48" s="64" t="inlineStr">
        <is>
          <t>Recycled Paper Procurement</t>
        </is>
      </c>
      <c r="B48" s="65" t="n">
        <v>0</v>
      </c>
      <c r="C48" s="64" t="inlineStr">
        <is>
          <t>kg</t>
        </is>
      </c>
      <c r="D48" s="64">
        <f>VLOOKUP("Paper_Recycled", DB_Master!$A:$B, 2, 0)</f>
        <v/>
      </c>
      <c r="E48" s="66">
        <f>IF(Data_Quality_Scoring!J36="","Not Yet Scored",IF(Data_Quality_Scoring!J36&lt;=2,"High ✓",IF(Data_Quality_Scoring!J36&lt;=3.5,"Medium","Low ⚠")))</f>
        <v/>
      </c>
      <c r="F48" s="64">
        <f>IF(B48=0,0,(B48*D48)/1000)</f>
        <v/>
      </c>
      <c r="G48" s="67">
        <f>IF(AND(B48&gt;0,Data_Quality_Scoring!J36=""),"Quantity entered but Pedigree not yet scored in Data_Quality_Scoring tab",IF(AND(B48&gt;0,D48=0),"Zero emission factor — check DB_Master slug",""))</f>
        <v/>
      </c>
    </row>
    <row r="49" ht="15" customHeight="1" s="33">
      <c r="A49" s="64" t="inlineStr">
        <is>
          <t>Plastic Packaging Procurement</t>
        </is>
      </c>
      <c r="B49" s="65" t="n">
        <v>0</v>
      </c>
      <c r="C49" s="64" t="inlineStr">
        <is>
          <t>kg</t>
        </is>
      </c>
      <c r="D49" s="64">
        <f>VLOOKUP("Plastic_Packaging", DB_Master!$A:$B, 2, 0)</f>
        <v/>
      </c>
      <c r="E49" s="66">
        <f>IF(Data_Quality_Scoring!J37="","Not Yet Scored",IF(Data_Quality_Scoring!J37&lt;=2,"High ✓",IF(Data_Quality_Scoring!J37&lt;=3.5,"Medium","Low ⚠")))</f>
        <v/>
      </c>
      <c r="F49" s="64">
        <f>IF(B49=0,0,(B49*D49)/1000)</f>
        <v/>
      </c>
      <c r="G49" s="67">
        <f>IF(AND(B49&gt;0,Data_Quality_Scoring!J37=""),"Quantity entered but Pedigree not yet scored in Data_Quality_Scoring tab",IF(AND(B49&gt;0,D49=0),"Zero emission factor — check DB_Master slug",""))</f>
        <v/>
      </c>
    </row>
    <row r="50" ht="15" customHeight="1" s="33">
      <c r="A50" s="64" t="inlineStr">
        <is>
          <t>Construction Steel Procurement</t>
        </is>
      </c>
      <c r="B50" s="65" t="n">
        <v>0</v>
      </c>
      <c r="C50" s="64" t="inlineStr">
        <is>
          <t>kg</t>
        </is>
      </c>
      <c r="D50" s="64">
        <f>VLOOKUP("Construction_Steel", DB_Master!$A:$B, 2, 0)</f>
        <v/>
      </c>
      <c r="E50" s="66">
        <f>IF(Data_Quality_Scoring!J38="","Not Yet Scored",IF(Data_Quality_Scoring!J38&lt;=2,"High ✓",IF(Data_Quality_Scoring!J38&lt;=3.5,"Medium","Low ⚠")))</f>
        <v/>
      </c>
      <c r="F50" s="64">
        <f>IF(B50=0,0,(B50*D50)/1000)</f>
        <v/>
      </c>
      <c r="G50" s="67">
        <f>IF(AND(B50&gt;0,Data_Quality_Scoring!J38=""),"Quantity entered but Pedigree not yet scored in Data_Quality_Scoring tab",IF(AND(B50&gt;0,D50=0),"Zero emission factor — check DB_Master slug",""))</f>
        <v/>
      </c>
    </row>
    <row r="51" ht="15" customHeight="1" s="33">
      <c r="A51" s="64" t="inlineStr">
        <is>
          <t>Cement Procurement</t>
        </is>
      </c>
      <c r="B51" s="65" t="n">
        <v>0</v>
      </c>
      <c r="C51" s="64" t="inlineStr">
        <is>
          <t>kg</t>
        </is>
      </c>
      <c r="D51" s="64">
        <f>VLOOKUP("Cement_Portland", DB_Master!$A:$B, 2, 0)</f>
        <v/>
      </c>
      <c r="E51" s="66">
        <f>IF(Data_Quality_Scoring!J39="","Not Yet Scored",IF(Data_Quality_Scoring!J39&lt;=2,"High ✓",IF(Data_Quality_Scoring!J39&lt;=3.5,"Medium","Low ⚠")))</f>
        <v/>
      </c>
      <c r="F51" s="64">
        <f>IF(B51=0,0,(B51*D51)/1000)</f>
        <v/>
      </c>
      <c r="G51" s="67">
        <f>IF(AND(B51&gt;0,Data_Quality_Scoring!J39=""),"Quantity entered but Pedigree not yet scored in Data_Quality_Scoring tab",IF(AND(B51&gt;0,D51=0),"Zero emission factor — check DB_Master slug",""))</f>
        <v/>
      </c>
    </row>
    <row r="52" ht="18" customHeight="1" s="33">
      <c r="A52" s="108" t="inlineStr">
        <is>
          <t>Category 2: Capital Goods</t>
        </is>
      </c>
      <c r="B52" s="109" t="n"/>
      <c r="C52" s="109" t="n"/>
      <c r="D52" s="109" t="n"/>
      <c r="E52" s="109" t="n"/>
      <c r="F52" s="109" t="n"/>
      <c r="G52" s="110" t="n"/>
    </row>
    <row r="53" ht="15" customHeight="1" s="33">
      <c r="A53" s="64" t="inlineStr">
        <is>
          <t>Laptops Purchased</t>
        </is>
      </c>
      <c r="B53" s="65" t="n">
        <v>0</v>
      </c>
      <c r="C53" s="64" t="inlineStr">
        <is>
          <t>Units</t>
        </is>
      </c>
      <c r="D53" s="64">
        <f>VLOOKUP("Laptop_Unit", DB_Master!$A:$B, 2, 0)</f>
        <v/>
      </c>
      <c r="E53" s="66">
        <f>IF(Data_Quality_Scoring!J40="","Not Yet Scored",IF(Data_Quality_Scoring!J40&lt;=2,"High ✓",IF(Data_Quality_Scoring!J40&lt;=3.5,"Medium","Low ⚠")))</f>
        <v/>
      </c>
      <c r="F53" s="64">
        <f>IF(B53=0,0,(B53*D53)/1000)</f>
        <v/>
      </c>
      <c r="G53" s="67">
        <f>IF(AND(B53&gt;0,Data_Quality_Scoring!J40=""),"Quantity entered but Pedigree not yet scored in Data_Quality_Scoring tab",IF(AND(B53&gt;0,D53=0),"Zero emission factor — check DB_Master slug",""))</f>
        <v/>
      </c>
    </row>
    <row r="54" ht="15" customHeight="1" s="33">
      <c r="A54" s="64" t="inlineStr">
        <is>
          <t>Desktops Purchased</t>
        </is>
      </c>
      <c r="B54" s="65" t="n">
        <v>0</v>
      </c>
      <c r="C54" s="64" t="inlineStr">
        <is>
          <t>Units</t>
        </is>
      </c>
      <c r="D54" s="64">
        <f>VLOOKUP("Desktop_Unit", DB_Master!$A:$B, 2, 0)</f>
        <v/>
      </c>
      <c r="E54" s="66">
        <f>IF(Data_Quality_Scoring!J41="","Not Yet Scored",IF(Data_Quality_Scoring!J41&lt;=2,"High ✓",IF(Data_Quality_Scoring!J41&lt;=3.5,"Medium","Low ⚠")))</f>
        <v/>
      </c>
      <c r="F54" s="64">
        <f>IF(B54=0,0,(B54*D54)/1000)</f>
        <v/>
      </c>
      <c r="G54" s="67">
        <f>IF(AND(B54&gt;0,Data_Quality_Scoring!J41=""),"Quantity entered but Pedigree not yet scored in Data_Quality_Scoring tab",IF(AND(B54&gt;0,D54=0),"Zero emission factor — check DB_Master slug",""))</f>
        <v/>
      </c>
    </row>
    <row r="55" ht="15" customHeight="1" s="33">
      <c r="A55" s="64" t="inlineStr">
        <is>
          <t>Smartphones Purchased</t>
        </is>
      </c>
      <c r="B55" s="65" t="n">
        <v>0</v>
      </c>
      <c r="C55" s="64" t="inlineStr">
        <is>
          <t>Units</t>
        </is>
      </c>
      <c r="D55" s="64">
        <f>VLOOKUP("Smartphone_Unit", DB_Master!$A:$B, 2, 0)</f>
        <v/>
      </c>
      <c r="E55" s="66">
        <f>IF(Data_Quality_Scoring!J42="","Not Yet Scored",IF(Data_Quality_Scoring!J42&lt;=2,"High ✓",IF(Data_Quality_Scoring!J42&lt;=3.5,"Medium","Low ⚠")))</f>
        <v/>
      </c>
      <c r="F55" s="64">
        <f>IF(B55=0,0,(B55*D55)/1000)</f>
        <v/>
      </c>
      <c r="G55" s="67">
        <f>IF(AND(B55&gt;0,Data_Quality_Scoring!J42=""),"Quantity entered but Pedigree not yet scored in Data_Quality_Scoring tab",IF(AND(B55&gt;0,D55=0),"Zero emission factor — check DB_Master slug",""))</f>
        <v/>
      </c>
    </row>
    <row r="56" ht="15" customHeight="1" s="33">
      <c r="A56" s="64" t="inlineStr">
        <is>
          <t>Office Furniture Purchased</t>
        </is>
      </c>
      <c r="B56" s="65" t="n">
        <v>0</v>
      </c>
      <c r="C56" s="64" t="inlineStr">
        <is>
          <t>kg</t>
        </is>
      </c>
      <c r="D56" s="64">
        <f>VLOOKUP("Furniture", DB_Master!$A:$B, 2, 0)</f>
        <v/>
      </c>
      <c r="E56" s="66">
        <f>IF(Data_Quality_Scoring!J43="","Not Yet Scored",IF(Data_Quality_Scoring!J43&lt;=2,"High ✓",IF(Data_Quality_Scoring!J43&lt;=3.5,"Medium","Low ⚠")))</f>
        <v/>
      </c>
      <c r="F56" s="64">
        <f>IF(B56=0,0,(B56*D56)/1000)</f>
        <v/>
      </c>
      <c r="G56" s="67">
        <f>IF(AND(B56&gt;0,Data_Quality_Scoring!J43=""),"Quantity entered but Pedigree not yet scored in Data_Quality_Scoring tab",IF(AND(B56&gt;0,D56=0),"Zero emission factor — check DB_Master slug",""))</f>
        <v/>
      </c>
    </row>
    <row r="57" ht="18" customHeight="1" s="33">
      <c r="A57" s="108" t="inlineStr">
        <is>
          <t>Category 3: Fuel- and Energy-Related Activities (not in Scope 1/2)</t>
        </is>
      </c>
      <c r="B57" s="109" t="n"/>
      <c r="C57" s="109" t="n"/>
      <c r="D57" s="109" t="n"/>
      <c r="E57" s="109" t="n"/>
      <c r="F57" s="109" t="n"/>
      <c r="G57" s="110" t="n"/>
    </row>
    <row r="58" ht="15" customHeight="1" s="33">
      <c r="A58" s="64" t="inlineStr">
        <is>
          <t>Well-to-Tank: Diesel</t>
        </is>
      </c>
      <c r="B58" s="65" t="n">
        <v>0</v>
      </c>
      <c r="C58" s="64" t="inlineStr">
        <is>
          <t>Liters</t>
        </is>
      </c>
      <c r="D58" s="64">
        <f>VLOOKUP("WTT_Diesel", DB_Master!$A:$B, 2, 0)</f>
        <v/>
      </c>
      <c r="E58" s="66">
        <f>IF(Data_Quality_Scoring!J44="","Not Yet Scored",IF(Data_Quality_Scoring!J44&lt;=2,"High ✓",IF(Data_Quality_Scoring!J44&lt;=3.5,"Medium","Low ⚠")))</f>
        <v/>
      </c>
      <c r="F58" s="64">
        <f>IF(B58=0,0,(B58*D58)/1000)</f>
        <v/>
      </c>
      <c r="G58" s="67">
        <f>IF(AND(B58&gt;0,Data_Quality_Scoring!J44=""),"Quantity entered but Pedigree not yet scored in Data_Quality_Scoring tab",IF(AND(B58&gt;0,D58=0),"Zero emission factor — check DB_Master slug",""))</f>
        <v/>
      </c>
    </row>
    <row r="59" ht="15" customHeight="1" s="33">
      <c r="A59" s="64" t="inlineStr">
        <is>
          <t>Well-to-Tank: Petrol</t>
        </is>
      </c>
      <c r="B59" s="65" t="n">
        <v>0</v>
      </c>
      <c r="C59" s="64" t="inlineStr">
        <is>
          <t>Liters</t>
        </is>
      </c>
      <c r="D59" s="64">
        <f>VLOOKUP("WTT_Petrol", DB_Master!$A:$B, 2, 0)</f>
        <v/>
      </c>
      <c r="E59" s="66">
        <f>IF(Data_Quality_Scoring!J45="","Not Yet Scored",IF(Data_Quality_Scoring!J45&lt;=2,"High ✓",IF(Data_Quality_Scoring!J45&lt;=3.5,"Medium","Low ⚠")))</f>
        <v/>
      </c>
      <c r="F59" s="64">
        <f>IF(B59=0,0,(B59*D59)/1000)</f>
        <v/>
      </c>
      <c r="G59" s="67">
        <f>IF(AND(B59&gt;0,Data_Quality_Scoring!J45=""),"Quantity entered but Pedigree not yet scored in Data_Quality_Scoring tab",IF(AND(B59&gt;0,D59=0),"Zero emission factor — check DB_Master slug",""))</f>
        <v/>
      </c>
    </row>
    <row r="60" ht="15" customHeight="1" s="33">
      <c r="A60" s="64" t="inlineStr">
        <is>
          <t>Grid T&amp;D Losses</t>
        </is>
      </c>
      <c r="B60" s="65" t="n">
        <v>0</v>
      </c>
      <c r="C60" s="64" t="inlineStr">
        <is>
          <t>kWh</t>
        </is>
      </c>
      <c r="D60" s="64">
        <f>VLOOKUP("Grid_TD_Loss", DB_Master!$A:$B, 2, 0)</f>
        <v/>
      </c>
      <c r="E60" s="66">
        <f>IF(Data_Quality_Scoring!J46="","Not Yet Scored",IF(Data_Quality_Scoring!J46&lt;=2,"High ✓",IF(Data_Quality_Scoring!J46&lt;=3.5,"Medium","Low ⚠")))</f>
        <v/>
      </c>
      <c r="F60" s="64">
        <f>IF(B60=0,0,(B60*D60)/1000)</f>
        <v/>
      </c>
      <c r="G60" s="67">
        <f>IF(AND(B60&gt;0,Data_Quality_Scoring!J46=""),"Quantity entered but Pedigree not yet scored in Data_Quality_Scoring tab",IF(AND(B60&gt;0,D60=0),"Zero emission factor — check DB_Master slug",""))</f>
        <v/>
      </c>
    </row>
    <row r="61" ht="18" customHeight="1" s="33">
      <c r="A61" s="108" t="inlineStr">
        <is>
          <t>Category 4: Upstream Transportation &amp; Distribution</t>
        </is>
      </c>
      <c r="B61" s="109" t="n"/>
      <c r="C61" s="109" t="n"/>
      <c r="D61" s="109" t="n"/>
      <c r="E61" s="109" t="n"/>
      <c r="F61" s="109" t="n"/>
      <c r="G61" s="110" t="n"/>
    </row>
    <row r="62" ht="15" customHeight="1" s="33">
      <c r="A62" s="64" t="inlineStr">
        <is>
          <t>Inbound Trucking (Diesel, tonne-km)</t>
        </is>
      </c>
      <c r="B62" s="65" t="n">
        <v>0</v>
      </c>
      <c r="C62" s="64" t="inlineStr">
        <is>
          <t>tonne-km</t>
        </is>
      </c>
      <c r="D62" s="64">
        <f>VLOOKUP("Transport_Truck_tkm", DB_Master!$A:$B, 2, 0)</f>
        <v/>
      </c>
      <c r="E62" s="66">
        <f>IF(Data_Quality_Scoring!J47="","Not Yet Scored",IF(Data_Quality_Scoring!J47&lt;=2,"High ✓",IF(Data_Quality_Scoring!J47&lt;=3.5,"Medium","Low ⚠")))</f>
        <v/>
      </c>
      <c r="F62" s="64">
        <f>IF(B62=0,0,(B62*D62)/1000)</f>
        <v/>
      </c>
      <c r="G62" s="67">
        <f>IF(AND(B62&gt;0,Data_Quality_Scoring!J47=""),"Quantity entered but Pedigree not yet scored in Data_Quality_Scoring tab",IF(AND(B62&gt;0,D62=0),"Zero emission factor — check DB_Master slug",""))</f>
        <v/>
      </c>
    </row>
    <row r="63" ht="15" customHeight="1" s="33">
      <c r="A63" s="64" t="inlineStr">
        <is>
          <t>Inbound LCV Delivery</t>
        </is>
      </c>
      <c r="B63" s="65" t="n">
        <v>0</v>
      </c>
      <c r="C63" s="64" t="inlineStr">
        <is>
          <t>km</t>
        </is>
      </c>
      <c r="D63" s="64">
        <f>VLOOKUP("Transport_LCV_km", DB_Master!$A:$B, 2, 0)</f>
        <v/>
      </c>
      <c r="E63" s="66">
        <f>IF(Data_Quality_Scoring!J48="","Not Yet Scored",IF(Data_Quality_Scoring!J48&lt;=2,"High ✓",IF(Data_Quality_Scoring!J48&lt;=3.5,"Medium","Low ⚠")))</f>
        <v/>
      </c>
      <c r="F63" s="64">
        <f>IF(B63=0,0,(B63*D63)/1000)</f>
        <v/>
      </c>
      <c r="G63" s="67">
        <f>IF(AND(B63&gt;0,Data_Quality_Scoring!J48=""),"Quantity entered but Pedigree not yet scored in Data_Quality_Scoring tab",IF(AND(B63&gt;0,D63=0),"Zero emission factor — check DB_Master slug",""))</f>
        <v/>
      </c>
    </row>
    <row r="64" ht="15" customHeight="1" s="33">
      <c r="A64" s="64" t="inlineStr">
        <is>
          <t>Inbound HGV Delivery</t>
        </is>
      </c>
      <c r="B64" s="65" t="n">
        <v>0</v>
      </c>
      <c r="C64" s="64" t="inlineStr">
        <is>
          <t>km</t>
        </is>
      </c>
      <c r="D64" s="64">
        <f>VLOOKUP("Transport_HGV_km", DB_Master!$A:$B, 2, 0)</f>
        <v/>
      </c>
      <c r="E64" s="66">
        <f>IF(Data_Quality_Scoring!J49="","Not Yet Scored",IF(Data_Quality_Scoring!J49&lt;=2,"High ✓",IF(Data_Quality_Scoring!J49&lt;=3.5,"Medium","Low ⚠")))</f>
        <v/>
      </c>
      <c r="F64" s="64">
        <f>IF(B64=0,0,(B64*D64)/1000)</f>
        <v/>
      </c>
      <c r="G64" s="67">
        <f>IF(AND(B64&gt;0,Data_Quality_Scoring!J49=""),"Quantity entered but Pedigree not yet scored in Data_Quality_Scoring tab",IF(AND(B64&gt;0,D64=0),"Zero emission factor — check DB_Master slug",""))</f>
        <v/>
      </c>
    </row>
    <row r="65" ht="15" customHeight="1" s="33">
      <c r="A65" s="64" t="inlineStr">
        <is>
          <t>Inbound Rail Freight</t>
        </is>
      </c>
      <c r="B65" s="65" t="n">
        <v>0</v>
      </c>
      <c r="C65" s="64" t="inlineStr">
        <is>
          <t>tonne-km</t>
        </is>
      </c>
      <c r="D65" s="64">
        <f>VLOOKUP("Rail_Freight", DB_Master!$A:$B, 2, 0)</f>
        <v/>
      </c>
      <c r="E65" s="66">
        <f>IF(Data_Quality_Scoring!J50="","Not Yet Scored",IF(Data_Quality_Scoring!J50&lt;=2,"High ✓",IF(Data_Quality_Scoring!J50&lt;=3.5,"Medium","Low ⚠")))</f>
        <v/>
      </c>
      <c r="F65" s="64">
        <f>IF(B65=0,0,(B65*D65)/1000)</f>
        <v/>
      </c>
      <c r="G65" s="67">
        <f>IF(AND(B65&gt;0,Data_Quality_Scoring!J50=""),"Quantity entered but Pedigree not yet scored in Data_Quality_Scoring tab",IF(AND(B65&gt;0,D65=0),"Zero emission factor — check DB_Master slug",""))</f>
        <v/>
      </c>
    </row>
    <row r="66" ht="15" customHeight="1" s="33">
      <c r="A66" s="64" t="inlineStr">
        <is>
          <t>Inbound Air Freight</t>
        </is>
      </c>
      <c r="B66" s="65" t="n">
        <v>0</v>
      </c>
      <c r="C66" s="64" t="inlineStr">
        <is>
          <t>tonne-km</t>
        </is>
      </c>
      <c r="D66" s="64">
        <f>VLOOKUP("Air_Freight_Cargo", DB_Master!$A:$B, 2, 0)</f>
        <v/>
      </c>
      <c r="E66" s="66">
        <f>IF(Data_Quality_Scoring!J51="","Not Yet Scored",IF(Data_Quality_Scoring!J51&lt;=2,"High ✓",IF(Data_Quality_Scoring!J51&lt;=3.5,"Medium","Low ⚠")))</f>
        <v/>
      </c>
      <c r="F66" s="64">
        <f>IF(B66=0,0,(B66*D66)/1000)</f>
        <v/>
      </c>
      <c r="G66" s="67">
        <f>IF(AND(B66&gt;0,Data_Quality_Scoring!J51=""),"Quantity entered but Pedigree not yet scored in Data_Quality_Scoring tab",IF(AND(B66&gt;0,D66=0),"Zero emission factor — check DB_Master slug",""))</f>
        <v/>
      </c>
    </row>
    <row r="67" ht="18" customHeight="1" s="33">
      <c r="A67" s="108" t="inlineStr">
        <is>
          <t>Category 5: Waste Generated in Operations</t>
        </is>
      </c>
      <c r="B67" s="109" t="n"/>
      <c r="C67" s="109" t="n"/>
      <c r="D67" s="109" t="n"/>
      <c r="E67" s="109" t="n"/>
      <c r="F67" s="109" t="n"/>
      <c r="G67" s="110" t="n"/>
    </row>
    <row r="68" ht="15" customHeight="1" s="33">
      <c r="A68" s="64" t="inlineStr">
        <is>
          <t>Waste to Landfill</t>
        </is>
      </c>
      <c r="B68" s="65" t="n">
        <v>0</v>
      </c>
      <c r="C68" s="64" t="inlineStr">
        <is>
          <t>kg</t>
        </is>
      </c>
      <c r="D68" s="64">
        <f>VLOOKUP("Waste_Landfill", DB_Master!$A:$B, 2, 0)</f>
        <v/>
      </c>
      <c r="E68" s="66">
        <f>IF(Data_Quality_Scoring!J52="","Not Yet Scored",IF(Data_Quality_Scoring!J52&lt;=2,"High ✓",IF(Data_Quality_Scoring!J52&lt;=3.5,"Medium","Low ⚠")))</f>
        <v/>
      </c>
      <c r="F68" s="64">
        <f>IF(B68=0,0,(B68*D68)/1000)</f>
        <v/>
      </c>
      <c r="G68" s="67">
        <f>IF(AND(B68&gt;0,Data_Quality_Scoring!J52=""),"Quantity entered but Pedigree not yet scored in Data_Quality_Scoring tab",IF(AND(B68&gt;0,D68=0),"Zero emission factor — check DB_Master slug",""))</f>
        <v/>
      </c>
    </row>
    <row r="69" ht="15" customHeight="1" s="33">
      <c r="A69" s="64" t="inlineStr">
        <is>
          <t>Waste Recycled</t>
        </is>
      </c>
      <c r="B69" s="65" t="n">
        <v>0</v>
      </c>
      <c r="C69" s="64" t="inlineStr">
        <is>
          <t>kg</t>
        </is>
      </c>
      <c r="D69" s="64">
        <f>VLOOKUP("Waste_Recycle", DB_Master!$A:$B, 2, 0)</f>
        <v/>
      </c>
      <c r="E69" s="66">
        <f>IF(Data_Quality_Scoring!J53="","Not Yet Scored",IF(Data_Quality_Scoring!J53&lt;=2,"High ✓",IF(Data_Quality_Scoring!J53&lt;=3.5,"Medium","Low ⚠")))</f>
        <v/>
      </c>
      <c r="F69" s="64">
        <f>IF(B69=0,0,(B69*D69)/1000)</f>
        <v/>
      </c>
      <c r="G69" s="67">
        <f>IF(AND(B69&gt;0,Data_Quality_Scoring!J53=""),"Quantity entered but Pedigree not yet scored in Data_Quality_Scoring tab",IF(AND(B69&gt;0,D69=0),"Zero emission factor — check DB_Master slug",""))</f>
        <v/>
      </c>
    </row>
    <row r="70" ht="15" customHeight="1" s="33">
      <c r="A70" s="64" t="inlineStr">
        <is>
          <t>Waste Incinerated</t>
        </is>
      </c>
      <c r="B70" s="65" t="n">
        <v>0</v>
      </c>
      <c r="C70" s="64" t="inlineStr">
        <is>
          <t>kg</t>
        </is>
      </c>
      <c r="D70" s="64">
        <f>VLOOKUP("Waste_Incineration", DB_Master!$A:$B, 2, 0)</f>
        <v/>
      </c>
      <c r="E70" s="66">
        <f>IF(Data_Quality_Scoring!J54="","Not Yet Scored",IF(Data_Quality_Scoring!J54&lt;=2,"High ✓",IF(Data_Quality_Scoring!J54&lt;=3.5,"Medium","Low ⚠")))</f>
        <v/>
      </c>
      <c r="F70" s="64">
        <f>IF(B70=0,0,(B70*D70)/1000)</f>
        <v/>
      </c>
      <c r="G70" s="67">
        <f>IF(AND(B70&gt;0,Data_Quality_Scoring!J54=""),"Quantity entered but Pedigree not yet scored in Data_Quality_Scoring tab",IF(AND(B70&gt;0,D70=0),"Zero emission factor — check DB_Master slug",""))</f>
        <v/>
      </c>
    </row>
    <row r="71" ht="15" customHeight="1" s="33">
      <c r="A71" s="64" t="inlineStr">
        <is>
          <t>Wastewater Treated</t>
        </is>
      </c>
      <c r="B71" s="65" t="n">
        <v>0</v>
      </c>
      <c r="C71" s="64" t="inlineStr">
        <is>
          <t>m3</t>
        </is>
      </c>
      <c r="D71" s="64">
        <f>VLOOKUP("Wastewater_Treatment", DB_Master!$A:$B, 2, 0)</f>
        <v/>
      </c>
      <c r="E71" s="66">
        <f>IF(Data_Quality_Scoring!J55="","Not Yet Scored",IF(Data_Quality_Scoring!J55&lt;=2,"High ✓",IF(Data_Quality_Scoring!J55&lt;=3.5,"Medium","Low ⚠")))</f>
        <v/>
      </c>
      <c r="F71" s="64">
        <f>IF(B71=0,0,(B71*D71)/1000)</f>
        <v/>
      </c>
      <c r="G71" s="67">
        <f>IF(AND(B71&gt;0,Data_Quality_Scoring!J55=""),"Quantity entered but Pedigree not yet scored in Data_Quality_Scoring tab",IF(AND(B71&gt;0,D71=0),"Zero emission factor — check DB_Master slug",""))</f>
        <v/>
      </c>
    </row>
    <row r="72" ht="18" customHeight="1" s="33">
      <c r="A72" s="108" t="inlineStr">
        <is>
          <t>Category 6: Business Travel</t>
        </is>
      </c>
      <c r="B72" s="109" t="n"/>
      <c r="C72" s="109" t="n"/>
      <c r="D72" s="109" t="n"/>
      <c r="E72" s="109" t="n"/>
      <c r="F72" s="109" t="n"/>
      <c r="G72" s="110" t="n"/>
    </row>
    <row r="73" ht="15" customHeight="1" s="33">
      <c r="A73" s="64" t="inlineStr">
        <is>
          <t>Domestic Flights</t>
        </is>
      </c>
      <c r="B73" s="65" t="n">
        <v>0</v>
      </c>
      <c r="C73" s="64" t="inlineStr">
        <is>
          <t>p-km</t>
        </is>
      </c>
      <c r="D73" s="64">
        <f>VLOOKUP("Air_Domestic", DB_Master!$A:$B, 2, 0)</f>
        <v/>
      </c>
      <c r="E73" s="66">
        <f>IF(Data_Quality_Scoring!J56="","Not Yet Scored",IF(Data_Quality_Scoring!J56&lt;=2,"High ✓",IF(Data_Quality_Scoring!J56&lt;=3.5,"Medium","Low ⚠")))</f>
        <v/>
      </c>
      <c r="F73" s="64">
        <f>IF(B73=0,0,(B73*D73)/1000)</f>
        <v/>
      </c>
      <c r="G73" s="67">
        <f>IF(AND(B73&gt;0,Data_Quality_Scoring!J56=""),"Quantity entered but Pedigree not yet scored in Data_Quality_Scoring tab",IF(AND(B73&gt;0,D73=0),"Zero emission factor — check DB_Master slug",""))</f>
        <v/>
      </c>
    </row>
    <row r="74" ht="15" customHeight="1" s="33">
      <c r="A74" s="64" t="inlineStr">
        <is>
          <t>International Flights</t>
        </is>
      </c>
      <c r="B74" s="65" t="n">
        <v>0</v>
      </c>
      <c r="C74" s="64" t="inlineStr">
        <is>
          <t>p-km</t>
        </is>
      </c>
      <c r="D74" s="64">
        <f>VLOOKUP("Air_International", DB_Master!$A:$B, 2, 0)</f>
        <v/>
      </c>
      <c r="E74" s="66">
        <f>IF(Data_Quality_Scoring!J57="","Not Yet Scored",IF(Data_Quality_Scoring!J57&lt;=2,"High ✓",IF(Data_Quality_Scoring!J57&lt;=3.5,"Medium","Low ⚠")))</f>
        <v/>
      </c>
      <c r="F74" s="64">
        <f>IF(B74=0,0,(B74*D74)/1000)</f>
        <v/>
      </c>
      <c r="G74" s="67">
        <f>IF(AND(B74&gt;0,Data_Quality_Scoring!J57=""),"Quantity entered but Pedigree not yet scored in Data_Quality_Scoring tab",IF(AND(B74&gt;0,D74=0),"Zero emission factor — check DB_Master slug",""))</f>
        <v/>
      </c>
    </row>
    <row r="75" ht="15" customHeight="1" s="33">
      <c r="A75" s="64" t="inlineStr">
        <is>
          <t>Rail Travel</t>
        </is>
      </c>
      <c r="B75" s="65" t="n">
        <v>0</v>
      </c>
      <c r="C75" s="64" t="inlineStr">
        <is>
          <t>p-km</t>
        </is>
      </c>
      <c r="D75" s="64">
        <f>VLOOKUP("Rail_Passenger", DB_Master!$A:$B, 2, 0)</f>
        <v/>
      </c>
      <c r="E75" s="66">
        <f>IF(Data_Quality_Scoring!J58="","Not Yet Scored",IF(Data_Quality_Scoring!J58&lt;=2,"High ✓",IF(Data_Quality_Scoring!J58&lt;=3.5,"Medium","Low ⚠")))</f>
        <v/>
      </c>
      <c r="F75" s="64">
        <f>IF(B75=0,0,(B75*D75)/1000)</f>
        <v/>
      </c>
      <c r="G75" s="67">
        <f>IF(AND(B75&gt;0,Data_Quality_Scoring!J58=""),"Quantity entered but Pedigree not yet scored in Data_Quality_Scoring tab",IF(AND(B75&gt;0,D75=0),"Zero emission factor — check DB_Master slug",""))</f>
        <v/>
      </c>
    </row>
    <row r="76" ht="15" customHeight="1" s="33">
      <c r="A76" s="64" t="inlineStr">
        <is>
          <t>Taxi Travel</t>
        </is>
      </c>
      <c r="B76" s="65" t="n">
        <v>0</v>
      </c>
      <c r="C76" s="64" t="inlineStr">
        <is>
          <t>km</t>
        </is>
      </c>
      <c r="D76" s="64">
        <f>VLOOKUP("Taxi_Diesel", DB_Master!$A:$B, 2, 0)</f>
        <v/>
      </c>
      <c r="E76" s="66">
        <f>IF(Data_Quality_Scoring!J59="","Not Yet Scored",IF(Data_Quality_Scoring!J59&lt;=2,"High ✓",IF(Data_Quality_Scoring!J59&lt;=3.5,"Medium","Low ⚠")))</f>
        <v/>
      </c>
      <c r="F76" s="64">
        <f>IF(B76=0,0,(B76*D76)/1000)</f>
        <v/>
      </c>
      <c r="G76" s="67">
        <f>IF(AND(B76&gt;0,Data_Quality_Scoring!J59=""),"Quantity entered but Pedigree not yet scored in Data_Quality_Scoring tab",IF(AND(B76&gt;0,D76=0),"Zero emission factor — check DB_Master slug",""))</f>
        <v/>
      </c>
    </row>
    <row r="77" ht="15" customHeight="1" s="33">
      <c r="A77" s="64" t="inlineStr">
        <is>
          <t>Hotel Nights - 5 Star</t>
        </is>
      </c>
      <c r="B77" s="65" t="n">
        <v>0</v>
      </c>
      <c r="C77" s="64" t="inlineStr">
        <is>
          <t>Nights</t>
        </is>
      </c>
      <c r="D77" s="64">
        <f>VLOOKUP("Hotel_5Star", DB_Master!$A:$B, 2, 0)</f>
        <v/>
      </c>
      <c r="E77" s="66">
        <f>IF(Data_Quality_Scoring!J60="","Not Yet Scored",IF(Data_Quality_Scoring!J60&lt;=2,"High ✓",IF(Data_Quality_Scoring!J60&lt;=3.5,"Medium","Low ⚠")))</f>
        <v/>
      </c>
      <c r="F77" s="64">
        <f>IF(B77=0,0,(B77*D77)/1000)</f>
        <v/>
      </c>
      <c r="G77" s="67">
        <f>IF(AND(B77&gt;0,Data_Quality_Scoring!J60=""),"Quantity entered but Pedigree not yet scored in Data_Quality_Scoring tab",IF(AND(B77&gt;0,D77=0),"Zero emission factor — check DB_Master slug",""))</f>
        <v/>
      </c>
    </row>
    <row r="78" ht="15" customHeight="1" s="33">
      <c r="A78" s="64" t="inlineStr">
        <is>
          <t>Hotel Nights - Budget</t>
        </is>
      </c>
      <c r="B78" s="65" t="n">
        <v>0</v>
      </c>
      <c r="C78" s="64" t="inlineStr">
        <is>
          <t>Nights</t>
        </is>
      </c>
      <c r="D78" s="64">
        <f>VLOOKUP("Hotel_Budget", DB_Master!$A:$B, 2, 0)</f>
        <v/>
      </c>
      <c r="E78" s="66">
        <f>IF(Data_Quality_Scoring!J61="","Not Yet Scored",IF(Data_Quality_Scoring!J61&lt;=2,"High ✓",IF(Data_Quality_Scoring!J61&lt;=3.5,"Medium","Low ⚠")))</f>
        <v/>
      </c>
      <c r="F78" s="64">
        <f>IF(B78=0,0,(B78*D78)/1000)</f>
        <v/>
      </c>
      <c r="G78" s="67">
        <f>IF(AND(B78&gt;0,Data_Quality_Scoring!J61=""),"Quantity entered but Pedigree not yet scored in Data_Quality_Scoring tab",IF(AND(B78&gt;0,D78=0),"Zero emission factor — check DB_Master slug",""))</f>
        <v/>
      </c>
    </row>
    <row r="79" ht="18" customHeight="1" s="33">
      <c r="A79" s="108" t="inlineStr">
        <is>
          <t>Category 7: Employee Commuting</t>
        </is>
      </c>
      <c r="B79" s="109" t="n"/>
      <c r="C79" s="109" t="n"/>
      <c r="D79" s="109" t="n"/>
      <c r="E79" s="109" t="n"/>
      <c r="F79" s="109" t="n"/>
      <c r="G79" s="110" t="n"/>
    </row>
    <row r="80" ht="15" customHeight="1" s="33">
      <c r="A80" s="64" t="inlineStr">
        <is>
          <t>Two-Wheeler Commute</t>
        </is>
      </c>
      <c r="B80" s="65" t="n">
        <v>0</v>
      </c>
      <c r="C80" s="64" t="inlineStr">
        <is>
          <t>km</t>
        </is>
      </c>
      <c r="D80" s="64">
        <f>VLOOKUP("Commute_2Wheeler", DB_Master!$A:$B, 2, 0)</f>
        <v/>
      </c>
      <c r="E80" s="66">
        <f>IF(Data_Quality_Scoring!J62="","Not Yet Scored",IF(Data_Quality_Scoring!J62&lt;=2,"High ✓",IF(Data_Quality_Scoring!J62&lt;=3.5,"Medium","Low ⚠")))</f>
        <v/>
      </c>
      <c r="F80" s="64">
        <f>IF(B80=0,0,(B80*D80)/1000)</f>
        <v/>
      </c>
      <c r="G80" s="67">
        <f>IF(AND(B80&gt;0,Data_Quality_Scoring!J62=""),"Quantity entered but Pedigree not yet scored in Data_Quality_Scoring tab",IF(AND(B80&gt;0,D80=0),"Zero emission factor — check DB_Master slug",""))</f>
        <v/>
      </c>
    </row>
    <row r="81" ht="15" customHeight="1" s="33">
      <c r="A81" s="64" t="inlineStr">
        <is>
          <t>Car Commute - Small Segment</t>
        </is>
      </c>
      <c r="B81" s="65" t="n">
        <v>0</v>
      </c>
      <c r="C81" s="64" t="inlineStr">
        <is>
          <t>km</t>
        </is>
      </c>
      <c r="D81" s="64">
        <f>VLOOKUP("Commute_Car_Small", DB_Master!$A:$B, 2, 0)</f>
        <v/>
      </c>
      <c r="E81" s="66">
        <f>IF(Data_Quality_Scoring!J63="","Not Yet Scored",IF(Data_Quality_Scoring!J63&lt;=2,"High ✓",IF(Data_Quality_Scoring!J63&lt;=3.5,"Medium","Low ⚠")))</f>
        <v/>
      </c>
      <c r="F81" s="64">
        <f>IF(B81=0,0,(B81*D81)/1000)</f>
        <v/>
      </c>
      <c r="G81" s="67">
        <f>IF(AND(B81&gt;0,Data_Quality_Scoring!J63=""),"Quantity entered but Pedigree not yet scored in Data_Quality_Scoring tab",IF(AND(B81&gt;0,D81=0),"Zero emission factor — check DB_Master slug",""))</f>
        <v/>
      </c>
    </row>
    <row r="82" ht="15" customHeight="1" s="33">
      <c r="A82" s="64" t="inlineStr">
        <is>
          <t>Car Commute - Average</t>
        </is>
      </c>
      <c r="B82" s="65" t="n">
        <v>0</v>
      </c>
      <c r="C82" s="64" t="inlineStr">
        <is>
          <t>km</t>
        </is>
      </c>
      <c r="D82" s="64">
        <f>VLOOKUP("Commute_Car_Avg", DB_Master!$A:$B, 2, 0)</f>
        <v/>
      </c>
      <c r="E82" s="66">
        <f>IF(Data_Quality_Scoring!J64="","Not Yet Scored",IF(Data_Quality_Scoring!J64&lt;=2,"High ✓",IF(Data_Quality_Scoring!J64&lt;=3.5,"Medium","Low ⚠")))</f>
        <v/>
      </c>
      <c r="F82" s="64">
        <f>IF(B82=0,0,(B82*D82)/1000)</f>
        <v/>
      </c>
      <c r="G82" s="67">
        <f>IF(AND(B82&gt;0,Data_Quality_Scoring!J64=""),"Quantity entered but Pedigree not yet scored in Data_Quality_Scoring tab",IF(AND(B82&gt;0,D82=0),"Zero emission factor — check DB_Master slug",""))</f>
        <v/>
      </c>
    </row>
    <row r="83" ht="15" customHeight="1" s="33">
      <c r="A83" s="64" t="inlineStr">
        <is>
          <t>Car Commute - Large Segment</t>
        </is>
      </c>
      <c r="B83" s="65" t="n">
        <v>0</v>
      </c>
      <c r="C83" s="64" t="inlineStr">
        <is>
          <t>km</t>
        </is>
      </c>
      <c r="D83" s="64">
        <f>VLOOKUP("Commute_Car_Large", DB_Master!$A:$B, 2, 0)</f>
        <v/>
      </c>
      <c r="E83" s="66">
        <f>IF(Data_Quality_Scoring!J65="","Not Yet Scored",IF(Data_Quality_Scoring!J65&lt;=2,"High ✓",IF(Data_Quality_Scoring!J65&lt;=3.5,"Medium","Low ⚠")))</f>
        <v/>
      </c>
      <c r="F83" s="64">
        <f>IF(B83=0,0,(B83*D83)/1000)</f>
        <v/>
      </c>
      <c r="G83" s="67">
        <f>IF(AND(B83&gt;0,Data_Quality_Scoring!J65=""),"Quantity entered but Pedigree not yet scored in Data_Quality_Scoring tab",IF(AND(B83&gt;0,D83=0),"Zero emission factor — check DB_Master slug",""))</f>
        <v/>
      </c>
    </row>
    <row r="84" ht="15" customHeight="1" s="33">
      <c r="A84" s="64" t="inlineStr">
        <is>
          <t>Bus Commute</t>
        </is>
      </c>
      <c r="B84" s="65" t="n">
        <v>0</v>
      </c>
      <c r="C84" s="64" t="inlineStr">
        <is>
          <t>p-km</t>
        </is>
      </c>
      <c r="D84" s="64">
        <f>VLOOKUP("Commute_Bus", DB_Master!$A:$B, 2, 0)</f>
        <v/>
      </c>
      <c r="E84" s="66">
        <f>IF(Data_Quality_Scoring!J66="","Not Yet Scored",IF(Data_Quality_Scoring!J66&lt;=2,"High ✓",IF(Data_Quality_Scoring!J66&lt;=3.5,"Medium","Low ⚠")))</f>
        <v/>
      </c>
      <c r="F84" s="64">
        <f>IF(B84=0,0,(B84*D84)/1000)</f>
        <v/>
      </c>
      <c r="G84" s="67">
        <f>IF(AND(B84&gt;0,Data_Quality_Scoring!J66=""),"Quantity entered but Pedigree not yet scored in Data_Quality_Scoring tab",IF(AND(B84&gt;0,D84=0),"Zero emission factor — check DB_Master slug",""))</f>
        <v/>
      </c>
    </row>
    <row r="85" ht="15" customHeight="1" s="33">
      <c r="A85" s="64" t="inlineStr">
        <is>
          <t>Metro Rail Commute</t>
        </is>
      </c>
      <c r="B85" s="65" t="n">
        <v>0</v>
      </c>
      <c r="C85" s="64" t="inlineStr">
        <is>
          <t>p-km</t>
        </is>
      </c>
      <c r="D85" s="64">
        <f>VLOOKUP("Metro_Rail", DB_Master!$A:$B, 2, 0)</f>
        <v/>
      </c>
      <c r="E85" s="66">
        <f>IF(Data_Quality_Scoring!J67="","Not Yet Scored",IF(Data_Quality_Scoring!J67&lt;=2,"High ✓",IF(Data_Quality_Scoring!J67&lt;=3.5,"Medium","Low ⚠")))</f>
        <v/>
      </c>
      <c r="F85" s="64">
        <f>IF(B85=0,0,(B85*D85)/1000)</f>
        <v/>
      </c>
      <c r="G85" s="67">
        <f>IF(AND(B85&gt;0,Data_Quality_Scoring!J67=""),"Quantity entered but Pedigree not yet scored in Data_Quality_Scoring tab",IF(AND(B85&gt;0,D85=0),"Zero emission factor — check DB_Master slug",""))</f>
        <v/>
      </c>
    </row>
    <row r="86" ht="18" customHeight="1" s="33">
      <c r="A86" s="108" t="inlineStr">
        <is>
          <t>Category 8: Upstream Leased Assets  [CAUTION: CAUTION: include only assets NOT already captured in Scope 1/2 under your Cover_Boundary consolidation approach - avoid double counting]</t>
        </is>
      </c>
      <c r="B86" s="109" t="n"/>
      <c r="C86" s="109" t="n"/>
      <c r="D86" s="109" t="n"/>
      <c r="E86" s="109" t="n"/>
      <c r="F86" s="109" t="n"/>
      <c r="G86" s="110" t="n"/>
    </row>
    <row r="87" ht="15" customHeight="1" s="33">
      <c r="A87" s="64" t="inlineStr">
        <is>
          <t>Leased Office/Warehouse Electricity</t>
        </is>
      </c>
      <c r="B87" s="65" t="n">
        <v>0</v>
      </c>
      <c r="C87" s="64" t="inlineStr">
        <is>
          <t>kWh</t>
        </is>
      </c>
      <c r="D87" s="64">
        <f>VLOOKUP("Grid_India_CEA", DB_Master!$A:$B, 2, 0)</f>
        <v/>
      </c>
      <c r="E87" s="66">
        <f>IF(Data_Quality_Scoring!J69="","Not Yet Scored",IF(Data_Quality_Scoring!J69&lt;=2,"High ✓",IF(Data_Quality_Scoring!J69&lt;=3.5,"Medium","Low ⚠")))</f>
        <v/>
      </c>
      <c r="F87" s="64">
        <f>IF(B87=0,0,(B87*D87)/1000)</f>
        <v/>
      </c>
      <c r="G87" s="67">
        <f>IF(AND(B87&gt;0,Data_Quality_Scoring!J69=""),"Quantity entered but Pedigree not yet scored in Data_Quality_Scoring tab",IF(AND(B87&gt;0,D87=0),"Zero emission factor — check DB_Master slug",""))</f>
        <v/>
      </c>
    </row>
    <row r="88" ht="15" customHeight="1" s="33">
      <c r="A88" s="64" t="inlineStr">
        <is>
          <t>Leased Facility Water Use</t>
        </is>
      </c>
      <c r="B88" s="65" t="n">
        <v>0</v>
      </c>
      <c r="C88" s="64" t="inlineStr">
        <is>
          <t>m3</t>
        </is>
      </c>
      <c r="D88" s="64">
        <f>VLOOKUP("Water_Supply", DB_Master!$A:$B, 2, 0)</f>
        <v/>
      </c>
      <c r="E88" s="66">
        <f>IF(Data_Quality_Scoring!J70="","Not Yet Scored",IF(Data_Quality_Scoring!J70&lt;=2,"High ✓",IF(Data_Quality_Scoring!J70&lt;=3.5,"Medium","Low ⚠")))</f>
        <v/>
      </c>
      <c r="F88" s="64">
        <f>IF(B88=0,0,(B88*D88)/1000)</f>
        <v/>
      </c>
      <c r="G88" s="67">
        <f>IF(AND(B88&gt;0,Data_Quality_Scoring!J70=""),"Quantity entered but Pedigree not yet scored in Data_Quality_Scoring tab",IF(AND(B88&gt;0,D88=0),"Zero emission factor — check DB_Master slug",""))</f>
        <v/>
      </c>
    </row>
    <row r="89" ht="18" customHeight="1" s="33">
      <c r="A89" s="108" t="inlineStr">
        <is>
          <t>Category 9: Downstream Transportation &amp; Distribution</t>
        </is>
      </c>
      <c r="B89" s="109" t="n"/>
      <c r="C89" s="109" t="n"/>
      <c r="D89" s="109" t="n"/>
      <c r="E89" s="109" t="n"/>
      <c r="F89" s="109" t="n"/>
      <c r="G89" s="110" t="n"/>
    </row>
    <row r="90" ht="15" customHeight="1" s="33">
      <c r="A90" s="64" t="inlineStr">
        <is>
          <t>Outbound Trucking to Customers</t>
        </is>
      </c>
      <c r="B90" s="65" t="n">
        <v>0</v>
      </c>
      <c r="C90" s="64" t="inlineStr">
        <is>
          <t>tonne-km</t>
        </is>
      </c>
      <c r="D90" s="64">
        <f>VLOOKUP("Transport_Truck_tkm", DB_Master!$A:$B, 2, 0)</f>
        <v/>
      </c>
      <c r="E90" s="66">
        <f>IF(Data_Quality_Scoring!J71="","Not Yet Scored",IF(Data_Quality_Scoring!J71&lt;=2,"High ✓",IF(Data_Quality_Scoring!J71&lt;=3.5,"Medium","Low ⚠")))</f>
        <v/>
      </c>
      <c r="F90" s="64">
        <f>IF(B90=0,0,(B90*D90)/1000)</f>
        <v/>
      </c>
      <c r="G90" s="67">
        <f>IF(AND(B90&gt;0,Data_Quality_Scoring!J71=""),"Quantity entered but Pedigree not yet scored in Data_Quality_Scoring tab",IF(AND(B90&gt;0,D90=0),"Zero emission factor — check DB_Master slug",""))</f>
        <v/>
      </c>
    </row>
    <row r="91" ht="15" customHeight="1" s="33">
      <c r="A91" s="64" t="inlineStr">
        <is>
          <t>Outbound Air Freight to Customers</t>
        </is>
      </c>
      <c r="B91" s="65" t="n">
        <v>0</v>
      </c>
      <c r="C91" s="64" t="inlineStr">
        <is>
          <t>tonne-km</t>
        </is>
      </c>
      <c r="D91" s="64">
        <f>VLOOKUP("Air_Freight_Cargo", DB_Master!$A:$B, 2, 0)</f>
        <v/>
      </c>
      <c r="E91" s="66">
        <f>IF(Data_Quality_Scoring!J72="","Not Yet Scored",IF(Data_Quality_Scoring!J72&lt;=2,"High ✓",IF(Data_Quality_Scoring!J72&lt;=3.5,"Medium","Low ⚠")))</f>
        <v/>
      </c>
      <c r="F91" s="64">
        <f>IF(B91=0,0,(B91*D91)/1000)</f>
        <v/>
      </c>
      <c r="G91" s="67">
        <f>IF(AND(B91&gt;0,Data_Quality_Scoring!J72=""),"Quantity entered but Pedigree not yet scored in Data_Quality_Scoring tab",IF(AND(B91&gt;0,D91=0),"Zero emission factor — check DB_Master slug",""))</f>
        <v/>
      </c>
    </row>
    <row r="92" ht="15" customHeight="1" s="33">
      <c r="A92" s="64" t="inlineStr">
        <is>
          <t>Outbound Rail Distribution</t>
        </is>
      </c>
      <c r="B92" s="65" t="n">
        <v>0</v>
      </c>
      <c r="C92" s="64" t="inlineStr">
        <is>
          <t>tonne-km</t>
        </is>
      </c>
      <c r="D92" s="64">
        <f>VLOOKUP("Rail_Freight", DB_Master!$A:$B, 2, 0)</f>
        <v/>
      </c>
      <c r="E92" s="66">
        <f>IF(Data_Quality_Scoring!J73="","Not Yet Scored",IF(Data_Quality_Scoring!J73&lt;=2,"High ✓",IF(Data_Quality_Scoring!J73&lt;=3.5,"Medium","Low ⚠")))</f>
        <v/>
      </c>
      <c r="F92" s="64">
        <f>IF(B92=0,0,(B92*D92)/1000)</f>
        <v/>
      </c>
      <c r="G92" s="67">
        <f>IF(AND(B92&gt;0,Data_Quality_Scoring!J73=""),"Quantity entered but Pedigree not yet scored in Data_Quality_Scoring tab",IF(AND(B92&gt;0,D92=0),"Zero emission factor — check DB_Master slug",""))</f>
        <v/>
      </c>
    </row>
  </sheetData>
  <mergeCells count="12">
    <mergeCell ref="A89:G89"/>
    <mergeCell ref="A61:G61"/>
    <mergeCell ref="A67:G67"/>
    <mergeCell ref="A79:G79"/>
    <mergeCell ref="A57:G57"/>
    <mergeCell ref="A24:G24"/>
    <mergeCell ref="A2:G2"/>
    <mergeCell ref="A72:G72"/>
    <mergeCell ref="A52:G52"/>
    <mergeCell ref="A86:G86"/>
    <mergeCell ref="A43:G43"/>
    <mergeCell ref="A41:G41"/>
  </mergeCells>
  <dataValidations count="1">
    <dataValidation sqref="E5:E9 E11:E13 E15:E17 E19:E20 E27:E30 E35:E37 E43:E92" showDropDown="0" showInputMessage="0" showErrorMessage="0" allowBlank="0" type="list" errorStyle="stop" operator="between">
      <formula1>"Not Yet Assessed,Measured (Metered/Invoiced),Calculated (Supplier-Specific),Estimated (Industry Average),Proxy (Spend-Based)"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style="33" min="1" max="1"/>
    <col width="14" customWidth="1" style="33" min="2" max="2"/>
    <col width="10" customWidth="1" style="33" min="3" max="3"/>
    <col width="22" customWidth="1" style="33" min="4" max="4"/>
    <col width="22" customWidth="1" style="33" min="5" max="5"/>
    <col width="20" customWidth="1" style="33" min="6" max="6"/>
    <col width="20" customWidth="1" style="33" min="7" max="7"/>
    <col width="20" customWidth="1" style="33" min="8" max="8"/>
    <col width="16" customWidth="1" style="33" min="9" max="9"/>
    <col width="16" customWidth="1" style="33" min="10" max="10"/>
  </cols>
  <sheetData>
    <row r="1">
      <c r="A1" s="71" t="inlineStr">
        <is>
          <t>DATA QUALITY SCORING — ISO 14044 Pedigree Matrix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</row>
    <row r="2">
      <c r="A2" s="46" t="inlineStr">
        <is>
          <t>Score each row on the five Pedigree indicators (1=Best, 5=Worst). Composite DQR is auto-averaged. Proxy rows are hard-floored at 3.5. Leave blank ONLY if the row has zero quantity (it will be ignored in rollups).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</row>
    <row r="3" ht="42" customHeight="1" s="33">
      <c r="A3" s="72" t="inlineStr">
        <is>
          <t>GHG_Calculator Row</t>
        </is>
      </c>
      <c r="B3" s="72" t="inlineStr">
        <is>
          <t>Source Row #
(GHG_Calculator)</t>
        </is>
      </c>
      <c r="C3" s="72" t="inlineStr">
        <is>
          <t>Scope Tag</t>
        </is>
      </c>
      <c r="D3" s="72" t="inlineStr">
        <is>
          <t>Reliability
(1=Verified primary → 5=Non-qualified)</t>
        </is>
      </c>
      <c r="E3" s="72" t="inlineStr">
        <is>
          <t>Completeness
(1=All sites/proc → 5=Very incomplete)</t>
        </is>
      </c>
      <c r="F3" s="72" t="inlineStr">
        <is>
          <t>Temporal Corr.
(1=≤3 yr → 5=&gt;15 yr)</t>
        </is>
      </c>
      <c r="G3" s="72" t="inlineStr">
        <is>
          <t>Geographical Corr.
(1=Same area → 5=Unknown)</t>
        </is>
      </c>
      <c r="H3" s="72" t="inlineStr">
        <is>
          <t>Technology Corr.
(1=Exact process → 5=Unknown)</t>
        </is>
      </c>
      <c r="I3" s="72" t="inlineStr">
        <is>
          <t>Composite DQR
(auto-averaged)</t>
        </is>
      </c>
      <c r="J3" s="72" t="inlineStr">
        <is>
          <t>Effective DQR
(proxy-floored)</t>
        </is>
      </c>
    </row>
    <row r="4">
      <c r="A4" s="73" t="inlineStr">
        <is>
          <t>1 — Best</t>
        </is>
      </c>
      <c r="D4" s="74" t="inlineStr">
        <is>
          <t>Verified data based on measurements / site-specific supplier EPD</t>
        </is>
      </c>
      <c r="E4" s="74" t="inlineStr">
        <is>
          <t>All sites / processes fully covered</t>
        </is>
      </c>
      <c r="F4" s="74" t="inlineStr">
        <is>
          <t>Data &lt; 3 years old</t>
        </is>
      </c>
      <c r="G4" s="74" t="inlineStr">
        <is>
          <t>Same geographical context (India)</t>
        </is>
      </c>
      <c r="H4" s="74" t="inlineStr">
        <is>
          <t>Exact technology / process match</t>
        </is>
      </c>
    </row>
    <row r="5">
      <c r="A5" s="75" t="inlineStr">
        <is>
          <t>2</t>
        </is>
      </c>
      <c r="D5" s="76" t="inlineStr">
        <is>
          <t>Verified data based on non-site-specific literature</t>
        </is>
      </c>
      <c r="E5" s="76" t="inlineStr">
        <is>
          <t>Some data from smaller sites not included</t>
        </is>
      </c>
      <c r="F5" s="76" t="inlineStr">
        <is>
          <t>Data 3–6 years old</t>
        </is>
      </c>
      <c r="G5" s="76" t="inlineStr">
        <is>
          <t>Same region (South Asia)</t>
        </is>
      </c>
      <c r="H5" s="76" t="inlineStr">
        <is>
          <t>Similar technology</t>
        </is>
      </c>
    </row>
    <row r="6">
      <c r="A6" s="77" t="inlineStr">
        <is>
          <t>3</t>
        </is>
      </c>
      <c r="D6" s="78" t="inlineStr">
        <is>
          <t>Non-verified data from industry or company</t>
        </is>
      </c>
      <c r="E6" s="78" t="inlineStr">
        <is>
          <t>Estimate for &lt;50% of sites/processes</t>
        </is>
      </c>
      <c r="F6" s="78" t="inlineStr">
        <is>
          <t>Data 6–10 years old</t>
        </is>
      </c>
      <c r="G6" s="78" t="inlineStr">
        <is>
          <t>Global factor applied to regional context</t>
        </is>
      </c>
      <c r="H6" s="78" t="inlineStr">
        <is>
          <t>Related process or material</t>
        </is>
      </c>
    </row>
    <row r="7">
      <c r="A7" s="79" t="inlineStr">
        <is>
          <t>4 — Proxy floor</t>
        </is>
      </c>
      <c r="D7" s="80" t="inlineStr">
        <is>
          <t>Proxy / spend-based / non-industry non-verified</t>
        </is>
      </c>
      <c r="E7" s="80" t="inlineStr">
        <is>
          <t>Grossly incomplete estimate</t>
        </is>
      </c>
      <c r="F7" s="80" t="inlineStr">
        <is>
          <t>Data 10–15 years old</t>
        </is>
      </c>
      <c r="G7" s="80" t="inlineStr">
        <is>
          <t>Factor from different world region</t>
        </is>
      </c>
      <c r="H7" s="80" t="inlineStr">
        <is>
          <t>Different but related technology</t>
        </is>
      </c>
    </row>
    <row r="8">
      <c r="A8" s="81" t="inlineStr">
        <is>
          <t>5 — Worst</t>
        </is>
      </c>
      <c r="D8" s="82" t="inlineStr">
        <is>
          <t>Non-qualified estimate or educated guess</t>
        </is>
      </c>
      <c r="E8" s="82" t="inlineStr">
        <is>
          <t>Representativeness unknown</t>
        </is>
      </c>
      <c r="F8" s="82" t="inlineStr">
        <is>
          <t>Data &gt; 15 years old</t>
        </is>
      </c>
      <c r="G8" s="82" t="inlineStr">
        <is>
          <t>Unknown geographical correlation</t>
        </is>
      </c>
      <c r="H8" s="82" t="inlineStr">
        <is>
          <t>Technology unknown</t>
        </is>
      </c>
    </row>
    <row r="9" ht="18" customHeight="1" s="33">
      <c r="A9" s="83" t="inlineStr">
        <is>
          <t>SCOPE 1 — Direct Emissions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5" t="n"/>
    </row>
    <row r="10" ht="16" customHeight="1" s="33">
      <c r="A10" s="84" t="inlineStr">
        <is>
          <t>Diesel Generator (DG Sets)</t>
        </is>
      </c>
      <c r="B10" s="85" t="n">
        <v>5</v>
      </c>
      <c r="C10" s="85" t="inlineStr">
        <is>
          <t>S1</t>
        </is>
      </c>
      <c r="D10" s="86" t="inlineStr"/>
      <c r="E10" s="86" t="inlineStr"/>
      <c r="F10" s="86" t="inlineStr"/>
      <c r="G10" s="86" t="inlineStr"/>
      <c r="H10" s="86" t="inlineStr"/>
      <c r="I10" s="87">
        <f>IFERROR(IF(AND(D10="",E10="",F10="",G10="",H10=""),"",AVERAGE(D10:H10)),"")</f>
        <v/>
      </c>
      <c r="J10" s="87">
        <f>IF(I10="","",I10)</f>
        <v/>
      </c>
    </row>
    <row r="11" ht="16" customHeight="1" s="33">
      <c r="A11" s="84" t="inlineStr">
        <is>
          <t>Furnace Oil (Boilers)</t>
        </is>
      </c>
      <c r="B11" s="85" t="n">
        <v>6</v>
      </c>
      <c r="C11" s="85" t="inlineStr">
        <is>
          <t>S1</t>
        </is>
      </c>
      <c r="D11" s="86" t="inlineStr"/>
      <c r="E11" s="86" t="inlineStr"/>
      <c r="F11" s="86" t="inlineStr"/>
      <c r="G11" s="86" t="inlineStr"/>
      <c r="H11" s="86" t="inlineStr"/>
      <c r="I11" s="87">
        <f>IFERROR(IF(AND(D11="",E11="",F11="",G11="",H11=""),"",AVERAGE(D11:H11)),"")</f>
        <v/>
      </c>
      <c r="J11" s="87">
        <f>IF(I11="","",I11)</f>
        <v/>
      </c>
    </row>
    <row r="12" ht="16" customHeight="1" s="33">
      <c r="A12" s="84" t="inlineStr">
        <is>
          <t>Natural Gas</t>
        </is>
      </c>
      <c r="B12" s="85" t="n">
        <v>7</v>
      </c>
      <c r="C12" s="85" t="inlineStr">
        <is>
          <t>S1</t>
        </is>
      </c>
      <c r="D12" s="86" t="inlineStr"/>
      <c r="E12" s="86" t="inlineStr"/>
      <c r="F12" s="86" t="inlineStr"/>
      <c r="G12" s="86" t="inlineStr"/>
      <c r="H12" s="86" t="inlineStr"/>
      <c r="I12" s="87">
        <f>IFERROR(IF(AND(D12="",E12="",F12="",G12="",H12=""),"",AVERAGE(D12:H12)),"")</f>
        <v/>
      </c>
      <c r="J12" s="87">
        <f>IF(I12="","",I12)</f>
        <v/>
      </c>
    </row>
    <row r="13" ht="16" customHeight="1" s="33">
      <c r="A13" s="84" t="inlineStr">
        <is>
          <t>Indian Coal (Boilers)</t>
        </is>
      </c>
      <c r="B13" s="85" t="n">
        <v>8</v>
      </c>
      <c r="C13" s="85" t="inlineStr">
        <is>
          <t>S1</t>
        </is>
      </c>
      <c r="D13" s="86" t="inlineStr"/>
      <c r="E13" s="86" t="inlineStr"/>
      <c r="F13" s="86" t="inlineStr"/>
      <c r="G13" s="86" t="inlineStr"/>
      <c r="H13" s="86" t="inlineStr"/>
      <c r="I13" s="87">
        <f>IFERROR(IF(AND(D13="",E13="",F13="",G13="",H13=""),"",AVERAGE(D13:H13)),"")</f>
        <v/>
      </c>
      <c r="J13" s="87">
        <f>IF(I13="","",I13)</f>
        <v/>
      </c>
    </row>
    <row r="14" ht="16" customHeight="1" s="33">
      <c r="A14" s="84" t="inlineStr">
        <is>
          <t>Commercial LPG</t>
        </is>
      </c>
      <c r="B14" s="85" t="n">
        <v>9</v>
      </c>
      <c r="C14" s="85" t="inlineStr">
        <is>
          <t>S1</t>
        </is>
      </c>
      <c r="D14" s="86" t="inlineStr"/>
      <c r="E14" s="86" t="inlineStr"/>
      <c r="F14" s="86" t="inlineStr"/>
      <c r="G14" s="86" t="inlineStr"/>
      <c r="H14" s="86" t="inlineStr"/>
      <c r="I14" s="87">
        <f>IFERROR(IF(AND(D14="",E14="",F14="",G14="",H14=""),"",AVERAGE(D14:H14)),"")</f>
        <v/>
      </c>
      <c r="J14" s="87">
        <f>IF(I14="","",I14)</f>
        <v/>
      </c>
    </row>
    <row r="15" ht="16" customHeight="1" s="33">
      <c r="A15" s="84" t="inlineStr">
        <is>
          <t>Petrol Company Cars</t>
        </is>
      </c>
      <c r="B15" s="85" t="n">
        <v>11</v>
      </c>
      <c r="C15" s="85" t="inlineStr">
        <is>
          <t>S1</t>
        </is>
      </c>
      <c r="D15" s="86" t="inlineStr"/>
      <c r="E15" s="86" t="inlineStr"/>
      <c r="F15" s="86" t="inlineStr"/>
      <c r="G15" s="86" t="inlineStr"/>
      <c r="H15" s="86" t="inlineStr"/>
      <c r="I15" s="87">
        <f>IFERROR(IF(AND(D15="",E15="",F15="",G15="",H15=""),"",AVERAGE(D15:H15)),"")</f>
        <v/>
      </c>
      <c r="J15" s="87">
        <f>IF(I15="","",I15)</f>
        <v/>
      </c>
    </row>
    <row r="16" ht="16" customHeight="1" s="33">
      <c r="A16" s="84" t="inlineStr">
        <is>
          <t>Diesel Company Vehicles</t>
        </is>
      </c>
      <c r="B16" s="85" t="n">
        <v>12</v>
      </c>
      <c r="C16" s="85" t="inlineStr">
        <is>
          <t>S1</t>
        </is>
      </c>
      <c r="D16" s="86" t="inlineStr"/>
      <c r="E16" s="86" t="inlineStr"/>
      <c r="F16" s="86" t="inlineStr"/>
      <c r="G16" s="86" t="inlineStr"/>
      <c r="H16" s="86" t="inlineStr"/>
      <c r="I16" s="87">
        <f>IFERROR(IF(AND(D16="",E16="",F16="",G16="",H16=""),"",AVERAGE(D16:H16)),"")</f>
        <v/>
      </c>
      <c r="J16" s="87">
        <f>IF(I16="","",I16)</f>
        <v/>
      </c>
    </row>
    <row r="17" ht="16" customHeight="1" s="33">
      <c r="A17" s="84" t="inlineStr">
        <is>
          <t>CNG Vehicles</t>
        </is>
      </c>
      <c r="B17" s="85" t="n">
        <v>13</v>
      </c>
      <c r="C17" s="85" t="inlineStr">
        <is>
          <t>S1</t>
        </is>
      </c>
      <c r="D17" s="86" t="inlineStr"/>
      <c r="E17" s="86" t="inlineStr"/>
      <c r="F17" s="86" t="inlineStr"/>
      <c r="G17" s="86" t="inlineStr"/>
      <c r="H17" s="86" t="inlineStr"/>
      <c r="I17" s="87">
        <f>IFERROR(IF(AND(D17="",E17="",F17="",G17="",H17=""),"",AVERAGE(D17:H17)),"")</f>
        <v/>
      </c>
      <c r="J17" s="87">
        <f>IF(I17="","",I17)</f>
        <v/>
      </c>
    </row>
    <row r="18" ht="16" customHeight="1" s="33">
      <c r="A18" s="84" t="inlineStr">
        <is>
          <t>Refrigerant Top-up - R-32</t>
        </is>
      </c>
      <c r="B18" s="85" t="n">
        <v>15</v>
      </c>
      <c r="C18" s="85" t="inlineStr">
        <is>
          <t>S1</t>
        </is>
      </c>
      <c r="D18" s="86" t="inlineStr"/>
      <c r="E18" s="86" t="inlineStr"/>
      <c r="F18" s="86" t="inlineStr"/>
      <c r="G18" s="86" t="inlineStr"/>
      <c r="H18" s="86" t="inlineStr"/>
      <c r="I18" s="87">
        <f>IFERROR(IF(AND(D18="",E18="",F18="",G18="",H18=""),"",AVERAGE(D18:H18)),"")</f>
        <v/>
      </c>
      <c r="J18" s="87">
        <f>IF(I18="","",I18)</f>
        <v/>
      </c>
    </row>
    <row r="19" ht="16" customHeight="1" s="33">
      <c r="A19" s="84" t="inlineStr">
        <is>
          <t>Refrigerant Top-up - R-410A</t>
        </is>
      </c>
      <c r="B19" s="85" t="n">
        <v>16</v>
      </c>
      <c r="C19" s="85" t="inlineStr">
        <is>
          <t>S1</t>
        </is>
      </c>
      <c r="D19" s="86" t="inlineStr"/>
      <c r="E19" s="86" t="inlineStr"/>
      <c r="F19" s="86" t="inlineStr"/>
      <c r="G19" s="86" t="inlineStr"/>
      <c r="H19" s="86" t="inlineStr"/>
      <c r="I19" s="87">
        <f>IFERROR(IF(AND(D19="",E19="",F19="",G19="",H19=""),"",AVERAGE(D19:H19)),"")</f>
        <v/>
      </c>
      <c r="J19" s="87">
        <f>IF(I19="","",I19)</f>
        <v/>
      </c>
    </row>
    <row r="20" ht="16" customHeight="1" s="33">
      <c r="A20" s="84" t="inlineStr">
        <is>
          <t>Refrigerant Top-up - R-22</t>
        </is>
      </c>
      <c r="B20" s="85" t="n">
        <v>17</v>
      </c>
      <c r="C20" s="85" t="inlineStr">
        <is>
          <t>S1</t>
        </is>
      </c>
      <c r="D20" s="86" t="inlineStr"/>
      <c r="E20" s="86" t="inlineStr"/>
      <c r="F20" s="86" t="inlineStr"/>
      <c r="G20" s="86" t="inlineStr"/>
      <c r="H20" s="86" t="inlineStr"/>
      <c r="I20" s="87">
        <f>IFERROR(IF(AND(D20="",E20="",F20="",G20="",H20=""),"",AVERAGE(D20:H20)),"")</f>
        <v/>
      </c>
      <c r="J20" s="87">
        <f>IF(I20="","",I20)</f>
        <v/>
      </c>
    </row>
    <row r="21" ht="16" customHeight="1" s="33">
      <c r="A21" s="84" t="inlineStr">
        <is>
          <t>Acetylene Welding</t>
        </is>
      </c>
      <c r="B21" s="85" t="n">
        <v>19</v>
      </c>
      <c r="C21" s="85" t="inlineStr">
        <is>
          <t>S1</t>
        </is>
      </c>
      <c r="D21" s="86" t="inlineStr"/>
      <c r="E21" s="86" t="inlineStr"/>
      <c r="F21" s="86" t="inlineStr"/>
      <c r="G21" s="86" t="inlineStr"/>
      <c r="H21" s="86" t="inlineStr"/>
      <c r="I21" s="87">
        <f>IFERROR(IF(AND(D21="",E21="",F21="",G21="",H21=""),"",AVERAGE(D21:H21)),"")</f>
        <v/>
      </c>
      <c r="J21" s="87">
        <f>IF(I21="","",I21)</f>
        <v/>
      </c>
    </row>
    <row r="22" ht="16" customHeight="1" s="33">
      <c r="A22" s="84" t="inlineStr">
        <is>
          <t>CO2 Fire Extinguisher Discharge</t>
        </is>
      </c>
      <c r="B22" s="85" t="n">
        <v>20</v>
      </c>
      <c r="C22" s="85" t="inlineStr">
        <is>
          <t>S1</t>
        </is>
      </c>
      <c r="D22" s="86" t="inlineStr"/>
      <c r="E22" s="86" t="inlineStr"/>
      <c r="F22" s="86" t="inlineStr"/>
      <c r="G22" s="86" t="inlineStr"/>
      <c r="H22" s="86" t="inlineStr"/>
      <c r="I22" s="87">
        <f>IFERROR(IF(AND(D22="",E22="",F22="",G22="",H22=""),"",AVERAGE(D22:H22)),"")</f>
        <v/>
      </c>
      <c r="J22" s="87">
        <f>IF(I22="","",I22)</f>
        <v/>
      </c>
    </row>
    <row r="23" ht="18" customHeight="1" s="33">
      <c r="A23" s="88" t="inlineStr">
        <is>
          <t>SCOPE 2 — Location-Based (Grid Average)</t>
        </is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5" t="n"/>
    </row>
    <row r="24" ht="16" customHeight="1" s="33">
      <c r="A24" s="84" t="inlineStr">
        <is>
          <t>Office Electricity - Grid Average</t>
        </is>
      </c>
      <c r="B24" s="85" t="n">
        <v>27</v>
      </c>
      <c r="C24" s="85" t="inlineStr">
        <is>
          <t>S2_LB</t>
        </is>
      </c>
      <c r="D24" s="86" t="inlineStr"/>
      <c r="E24" s="86" t="inlineStr"/>
      <c r="F24" s="86" t="inlineStr"/>
      <c r="G24" s="86" t="inlineStr"/>
      <c r="H24" s="86" t="inlineStr"/>
      <c r="I24" s="87">
        <f>IFERROR(IF(AND(D24="",E24="",F24="",G24="",H24=""),"",AVERAGE(D24:H24)),"")</f>
        <v/>
      </c>
      <c r="J24" s="87">
        <f>IF(I24="","",I24)</f>
        <v/>
      </c>
    </row>
    <row r="25" ht="16" customHeight="1" s="33">
      <c r="A25" s="84" t="inlineStr">
        <is>
          <t>Factory Electricity - Grid Average</t>
        </is>
      </c>
      <c r="B25" s="85" t="n">
        <v>28</v>
      </c>
      <c r="C25" s="85" t="inlineStr">
        <is>
          <t>S2_LB</t>
        </is>
      </c>
      <c r="D25" s="86" t="inlineStr"/>
      <c r="E25" s="86" t="inlineStr"/>
      <c r="F25" s="86" t="inlineStr"/>
      <c r="G25" s="86" t="inlineStr"/>
      <c r="H25" s="86" t="inlineStr"/>
      <c r="I25" s="87">
        <f>IFERROR(IF(AND(D25="",E25="",F25="",G25="",H25=""),"",AVERAGE(D25:H25)),"")</f>
        <v/>
      </c>
      <c r="J25" s="87">
        <f>IF(I25="","",I25)</f>
        <v/>
      </c>
    </row>
    <row r="26" ht="16" customHeight="1" s="33">
      <c r="A26" s="84" t="inlineStr">
        <is>
          <t>Warehouse Electricity - Grid Average</t>
        </is>
      </c>
      <c r="B26" s="85" t="n">
        <v>29</v>
      </c>
      <c r="C26" s="85" t="inlineStr">
        <is>
          <t>S2_LB</t>
        </is>
      </c>
      <c r="D26" s="86" t="inlineStr"/>
      <c r="E26" s="86" t="inlineStr"/>
      <c r="F26" s="86" t="inlineStr"/>
      <c r="G26" s="86" t="inlineStr"/>
      <c r="H26" s="86" t="inlineStr"/>
      <c r="I26" s="87">
        <f>IFERROR(IF(AND(D26="",E26="",F26="",G26="",H26=""),"",AVERAGE(D26:H26)),"")</f>
        <v/>
      </c>
      <c r="J26" s="87">
        <f>IF(I26="","",I26)</f>
        <v/>
      </c>
    </row>
    <row r="27" ht="16" customHeight="1" s="33">
      <c r="A27" s="84" t="inlineStr">
        <is>
          <t>Purchased Steam</t>
        </is>
      </c>
      <c r="B27" s="85" t="n">
        <v>30</v>
      </c>
      <c r="C27" s="85" t="inlineStr">
        <is>
          <t>S2_LB</t>
        </is>
      </c>
      <c r="D27" s="86" t="inlineStr"/>
      <c r="E27" s="86" t="inlineStr"/>
      <c r="F27" s="86" t="inlineStr"/>
      <c r="G27" s="86" t="inlineStr"/>
      <c r="H27" s="86" t="inlineStr"/>
      <c r="I27" s="87">
        <f>IFERROR(IF(AND(D27="",E27="",F27="",G27="",H27=""),"",AVERAGE(D27:H27)),"")</f>
        <v/>
      </c>
      <c r="J27" s="87">
        <f>IF(I27="","",I27)</f>
        <v/>
      </c>
    </row>
    <row r="28" ht="18" customHeight="1" s="33">
      <c r="A28" s="88" t="inlineStr">
        <is>
          <t>SCOPE 2 — Market-Based (Supplier / REC)</t>
        </is>
      </c>
      <c r="B28" s="44" t="n"/>
      <c r="C28" s="44" t="n"/>
      <c r="D28" s="44" t="n"/>
      <c r="E28" s="44" t="n"/>
      <c r="F28" s="44" t="n"/>
      <c r="G28" s="44" t="n"/>
      <c r="H28" s="44" t="n"/>
      <c r="I28" s="44" t="n"/>
      <c r="J28" s="45" t="n"/>
    </row>
    <row r="29" ht="16" customHeight="1" s="33">
      <c r="A29" s="84" t="inlineStr">
        <is>
          <t>Office Electricity - Supplier/Residual Mix</t>
        </is>
      </c>
      <c r="B29" s="85" t="n">
        <v>35</v>
      </c>
      <c r="C29" s="85" t="inlineStr">
        <is>
          <t>S2_MB</t>
        </is>
      </c>
      <c r="D29" s="86" t="inlineStr"/>
      <c r="E29" s="86" t="inlineStr"/>
      <c r="F29" s="86" t="inlineStr"/>
      <c r="G29" s="86" t="inlineStr"/>
      <c r="H29" s="86" t="inlineStr"/>
      <c r="I29" s="87">
        <f>IFERROR(IF(AND(D29="",E29="",F29="",G29="",H29=""),"",AVERAGE(D29:H29)),"")</f>
        <v/>
      </c>
      <c r="J29" s="87">
        <f>IF(I29="","",I29)</f>
        <v/>
      </c>
    </row>
    <row r="30" ht="16" customHeight="1" s="33">
      <c r="A30" s="84" t="inlineStr">
        <is>
          <t>Factory Electricity - Supplier/Residual Mix</t>
        </is>
      </c>
      <c r="B30" s="85" t="n">
        <v>36</v>
      </c>
      <c r="C30" s="85" t="inlineStr">
        <is>
          <t>S2_MB</t>
        </is>
      </c>
      <c r="D30" s="86" t="inlineStr"/>
      <c r="E30" s="86" t="inlineStr"/>
      <c r="F30" s="86" t="inlineStr"/>
      <c r="G30" s="86" t="inlineStr"/>
      <c r="H30" s="86" t="inlineStr"/>
      <c r="I30" s="87">
        <f>IFERROR(IF(AND(D30="",E30="",F30="",G30="",H30=""),"",AVERAGE(D30:H30)),"")</f>
        <v/>
      </c>
      <c r="J30" s="87">
        <f>IF(I30="","",I30)</f>
        <v/>
      </c>
    </row>
    <row r="31" ht="18" customHeight="1" s="33">
      <c r="A31" s="89" t="inlineStr">
        <is>
          <t>SCOPE 3 — Categories 1–9 (Value Chain)</t>
        </is>
      </c>
      <c r="B31" s="44" t="n"/>
      <c r="C31" s="44" t="n"/>
      <c r="D31" s="44" t="n"/>
      <c r="E31" s="44" t="n"/>
      <c r="F31" s="44" t="n"/>
      <c r="G31" s="44" t="n"/>
      <c r="H31" s="44" t="n"/>
      <c r="I31" s="44" t="n"/>
      <c r="J31" s="45" t="n"/>
    </row>
    <row r="32" ht="16" customHeight="1" s="33">
      <c r="A32" s="90" t="inlineStr">
        <is>
          <t>⚠ IT / Professional Services (Spend)  [PROXY — Reliability capped at 4 min]</t>
        </is>
      </c>
      <c r="B32" s="91" t="n">
        <v>44</v>
      </c>
      <c r="C32" s="91" t="inlineStr">
        <is>
          <t>S3_1_9</t>
        </is>
      </c>
      <c r="D32" s="92" t="inlineStr"/>
      <c r="E32" s="92" t="inlineStr"/>
      <c r="F32" s="92" t="inlineStr"/>
      <c r="G32" s="92" t="inlineStr"/>
      <c r="H32" s="92" t="inlineStr"/>
      <c r="I32" s="87">
        <f>IFERROR(IF(AND(D32="",E32="",F32="",G32="",H32=""),"",AVERAGE(D32:H32)),"")</f>
        <v/>
      </c>
      <c r="J32" s="87">
        <f>IF(I32="","",MAX(I32,3.5))</f>
        <v/>
      </c>
    </row>
    <row r="33" ht="16" customHeight="1" s="33">
      <c r="A33" s="90" t="inlineStr">
        <is>
          <t>⚠ Construction / Repairs (Spend)  [PROXY — Reliability capped at 4 min]</t>
        </is>
      </c>
      <c r="B33" s="91" t="n">
        <v>45</v>
      </c>
      <c r="C33" s="91" t="inlineStr">
        <is>
          <t>S3_1_9</t>
        </is>
      </c>
      <c r="D33" s="92" t="inlineStr"/>
      <c r="E33" s="92" t="inlineStr"/>
      <c r="F33" s="92" t="inlineStr"/>
      <c r="G33" s="92" t="inlineStr"/>
      <c r="H33" s="92" t="inlineStr"/>
      <c r="I33" s="87">
        <f>IFERROR(IF(AND(D33="",E33="",F33="",G33="",H33=""),"",AVERAGE(D33:H33)),"")</f>
        <v/>
      </c>
      <c r="J33" s="87">
        <f>IF(I33="","",MAX(I33,3.5))</f>
        <v/>
      </c>
    </row>
    <row r="34" ht="16" customHeight="1" s="33">
      <c r="A34" s="90" t="inlineStr">
        <is>
          <t>⚠ Generic Purchased Services (Spend)  [PROXY — Reliability capped at 4 min]</t>
        </is>
      </c>
      <c r="B34" s="91" t="n">
        <v>46</v>
      </c>
      <c r="C34" s="91" t="inlineStr">
        <is>
          <t>S3_1_9</t>
        </is>
      </c>
      <c r="D34" s="92" t="inlineStr"/>
      <c r="E34" s="92" t="inlineStr"/>
      <c r="F34" s="92" t="inlineStr"/>
      <c r="G34" s="92" t="inlineStr"/>
      <c r="H34" s="92" t="inlineStr"/>
      <c r="I34" s="87">
        <f>IFERROR(IF(AND(D34="",E34="",F34="",G34="",H34=""),"",AVERAGE(D34:H34)),"")</f>
        <v/>
      </c>
      <c r="J34" s="87">
        <f>IF(I34="","",MAX(I34,3.5))</f>
        <v/>
      </c>
    </row>
    <row r="35" ht="16" customHeight="1" s="33">
      <c r="A35" s="84" t="inlineStr">
        <is>
          <t>Virgin Paper Procurement</t>
        </is>
      </c>
      <c r="B35" s="85" t="n">
        <v>47</v>
      </c>
      <c r="C35" s="85" t="inlineStr">
        <is>
          <t>S3_1_9</t>
        </is>
      </c>
      <c r="D35" s="86" t="inlineStr"/>
      <c r="E35" s="86" t="inlineStr"/>
      <c r="F35" s="86" t="inlineStr"/>
      <c r="G35" s="86" t="inlineStr"/>
      <c r="H35" s="86" t="inlineStr"/>
      <c r="I35" s="87">
        <f>IFERROR(IF(AND(D35="",E35="",F35="",G35="",H35=""),"",AVERAGE(D35:H35)),"")</f>
        <v/>
      </c>
      <c r="J35" s="87">
        <f>IF(I35="","",I35)</f>
        <v/>
      </c>
    </row>
    <row r="36" ht="16" customHeight="1" s="33">
      <c r="A36" s="84" t="inlineStr">
        <is>
          <t>Recycled Paper Procurement</t>
        </is>
      </c>
      <c r="B36" s="85" t="n">
        <v>48</v>
      </c>
      <c r="C36" s="85" t="inlineStr">
        <is>
          <t>S3_1_9</t>
        </is>
      </c>
      <c r="D36" s="86" t="inlineStr"/>
      <c r="E36" s="86" t="inlineStr"/>
      <c r="F36" s="86" t="inlineStr"/>
      <c r="G36" s="86" t="inlineStr"/>
      <c r="H36" s="86" t="inlineStr"/>
      <c r="I36" s="87">
        <f>IFERROR(IF(AND(D36="",E36="",F36="",G36="",H36=""),"",AVERAGE(D36:H36)),"")</f>
        <v/>
      </c>
      <c r="J36" s="87">
        <f>IF(I36="","",I36)</f>
        <v/>
      </c>
    </row>
    <row r="37" ht="16" customHeight="1" s="33">
      <c r="A37" s="84" t="inlineStr">
        <is>
          <t>Plastic Packaging Procurement</t>
        </is>
      </c>
      <c r="B37" s="85" t="n">
        <v>49</v>
      </c>
      <c r="C37" s="85" t="inlineStr">
        <is>
          <t>S3_1_9</t>
        </is>
      </c>
      <c r="D37" s="86" t="inlineStr"/>
      <c r="E37" s="86" t="inlineStr"/>
      <c r="F37" s="86" t="inlineStr"/>
      <c r="G37" s="86" t="inlineStr"/>
      <c r="H37" s="86" t="inlineStr"/>
      <c r="I37" s="87">
        <f>IFERROR(IF(AND(D37="",E37="",F37="",G37="",H37=""),"",AVERAGE(D37:H37)),"")</f>
        <v/>
      </c>
      <c r="J37" s="87">
        <f>IF(I37="","",I37)</f>
        <v/>
      </c>
    </row>
    <row r="38" ht="16" customHeight="1" s="33">
      <c r="A38" s="84" t="inlineStr">
        <is>
          <t>Construction Steel Procurement</t>
        </is>
      </c>
      <c r="B38" s="85" t="n">
        <v>50</v>
      </c>
      <c r="C38" s="85" t="inlineStr">
        <is>
          <t>S3_1_9</t>
        </is>
      </c>
      <c r="D38" s="86" t="inlineStr"/>
      <c r="E38" s="86" t="inlineStr"/>
      <c r="F38" s="86" t="inlineStr"/>
      <c r="G38" s="86" t="inlineStr"/>
      <c r="H38" s="86" t="inlineStr"/>
      <c r="I38" s="87">
        <f>IFERROR(IF(AND(D38="",E38="",F38="",G38="",H38=""),"",AVERAGE(D38:H38)),"")</f>
        <v/>
      </c>
      <c r="J38" s="87">
        <f>IF(I38="","",I38)</f>
        <v/>
      </c>
    </row>
    <row r="39" ht="16" customHeight="1" s="33">
      <c r="A39" s="84" t="inlineStr">
        <is>
          <t>Cement Procurement</t>
        </is>
      </c>
      <c r="B39" s="85" t="n">
        <v>51</v>
      </c>
      <c r="C39" s="85" t="inlineStr">
        <is>
          <t>S3_1_9</t>
        </is>
      </c>
      <c r="D39" s="86" t="inlineStr"/>
      <c r="E39" s="86" t="inlineStr"/>
      <c r="F39" s="86" t="inlineStr"/>
      <c r="G39" s="86" t="inlineStr"/>
      <c r="H39" s="86" t="inlineStr"/>
      <c r="I39" s="87">
        <f>IFERROR(IF(AND(D39="",E39="",F39="",G39="",H39=""),"",AVERAGE(D39:H39)),"")</f>
        <v/>
      </c>
      <c r="J39" s="87">
        <f>IF(I39="","",I39)</f>
        <v/>
      </c>
    </row>
    <row r="40" ht="16" customHeight="1" s="33">
      <c r="A40" s="84" t="inlineStr">
        <is>
          <t>Laptops Purchased</t>
        </is>
      </c>
      <c r="B40" s="85" t="n">
        <v>53</v>
      </c>
      <c r="C40" s="85" t="inlineStr">
        <is>
          <t>S3_1_9</t>
        </is>
      </c>
      <c r="D40" s="86" t="inlineStr"/>
      <c r="E40" s="86" t="inlineStr"/>
      <c r="F40" s="86" t="inlineStr"/>
      <c r="G40" s="86" t="inlineStr"/>
      <c r="H40" s="86" t="inlineStr"/>
      <c r="I40" s="87">
        <f>IFERROR(IF(AND(D40="",E40="",F40="",G40="",H40=""),"",AVERAGE(D40:H40)),"")</f>
        <v/>
      </c>
      <c r="J40" s="87">
        <f>IF(I40="","",I40)</f>
        <v/>
      </c>
    </row>
    <row r="41" ht="16" customHeight="1" s="33">
      <c r="A41" s="84" t="inlineStr">
        <is>
          <t>Desktops Purchased</t>
        </is>
      </c>
      <c r="B41" s="85" t="n">
        <v>54</v>
      </c>
      <c r="C41" s="85" t="inlineStr">
        <is>
          <t>S3_1_9</t>
        </is>
      </c>
      <c r="D41" s="86" t="inlineStr"/>
      <c r="E41" s="86" t="inlineStr"/>
      <c r="F41" s="86" t="inlineStr"/>
      <c r="G41" s="86" t="inlineStr"/>
      <c r="H41" s="86" t="inlineStr"/>
      <c r="I41" s="87">
        <f>IFERROR(IF(AND(D41="",E41="",F41="",G41="",H41=""),"",AVERAGE(D41:H41)),"")</f>
        <v/>
      </c>
      <c r="J41" s="87">
        <f>IF(I41="","",I41)</f>
        <v/>
      </c>
    </row>
    <row r="42" ht="16" customHeight="1" s="33">
      <c r="A42" s="84" t="inlineStr">
        <is>
          <t>Smartphones Purchased</t>
        </is>
      </c>
      <c r="B42" s="85" t="n">
        <v>55</v>
      </c>
      <c r="C42" s="85" t="inlineStr">
        <is>
          <t>S3_1_9</t>
        </is>
      </c>
      <c r="D42" s="86" t="inlineStr"/>
      <c r="E42" s="86" t="inlineStr"/>
      <c r="F42" s="86" t="inlineStr"/>
      <c r="G42" s="86" t="inlineStr"/>
      <c r="H42" s="86" t="inlineStr"/>
      <c r="I42" s="87">
        <f>IFERROR(IF(AND(D42="",E42="",F42="",G42="",H42=""),"",AVERAGE(D42:H42)),"")</f>
        <v/>
      </c>
      <c r="J42" s="87">
        <f>IF(I42="","",I42)</f>
        <v/>
      </c>
    </row>
    <row r="43" ht="16" customHeight="1" s="33">
      <c r="A43" s="84" t="inlineStr">
        <is>
          <t>Office Furniture Purchased</t>
        </is>
      </c>
      <c r="B43" s="85" t="n">
        <v>56</v>
      </c>
      <c r="C43" s="85" t="inlineStr">
        <is>
          <t>S3_1_9</t>
        </is>
      </c>
      <c r="D43" s="86" t="inlineStr"/>
      <c r="E43" s="86" t="inlineStr"/>
      <c r="F43" s="86" t="inlineStr"/>
      <c r="G43" s="86" t="inlineStr"/>
      <c r="H43" s="86" t="inlineStr"/>
      <c r="I43" s="87">
        <f>IFERROR(IF(AND(D43="",E43="",F43="",G43="",H43=""),"",AVERAGE(D43:H43)),"")</f>
        <v/>
      </c>
      <c r="J43" s="87">
        <f>IF(I43="","",I43)</f>
        <v/>
      </c>
    </row>
    <row r="44" ht="16" customHeight="1" s="33">
      <c r="A44" s="84" t="inlineStr">
        <is>
          <t>Well-to-Tank: Diesel</t>
        </is>
      </c>
      <c r="B44" s="85" t="n">
        <v>58</v>
      </c>
      <c r="C44" s="85" t="inlineStr">
        <is>
          <t>S3_1_9</t>
        </is>
      </c>
      <c r="D44" s="86" t="inlineStr"/>
      <c r="E44" s="86" t="inlineStr"/>
      <c r="F44" s="86" t="inlineStr"/>
      <c r="G44" s="86" t="inlineStr"/>
      <c r="H44" s="86" t="inlineStr"/>
      <c r="I44" s="87">
        <f>IFERROR(IF(AND(D44="",E44="",F44="",G44="",H44=""),"",AVERAGE(D44:H44)),"")</f>
        <v/>
      </c>
      <c r="J44" s="87">
        <f>IF(I44="","",I44)</f>
        <v/>
      </c>
    </row>
    <row r="45" ht="16" customHeight="1" s="33">
      <c r="A45" s="84" t="inlineStr">
        <is>
          <t>Well-to-Tank: Petrol</t>
        </is>
      </c>
      <c r="B45" s="85" t="n">
        <v>59</v>
      </c>
      <c r="C45" s="85" t="inlineStr">
        <is>
          <t>S3_1_9</t>
        </is>
      </c>
      <c r="D45" s="86" t="inlineStr"/>
      <c r="E45" s="86" t="inlineStr"/>
      <c r="F45" s="86" t="inlineStr"/>
      <c r="G45" s="86" t="inlineStr"/>
      <c r="H45" s="86" t="inlineStr"/>
      <c r="I45" s="87">
        <f>IFERROR(IF(AND(D45="",E45="",F45="",G45="",H45=""),"",AVERAGE(D45:H45)),"")</f>
        <v/>
      </c>
      <c r="J45" s="87">
        <f>IF(I45="","",I45)</f>
        <v/>
      </c>
    </row>
    <row r="46" ht="16" customHeight="1" s="33">
      <c r="A46" s="84" t="inlineStr">
        <is>
          <t>Grid T&amp;D Losses</t>
        </is>
      </c>
      <c r="B46" s="85" t="n">
        <v>60</v>
      </c>
      <c r="C46" s="85" t="inlineStr">
        <is>
          <t>S3_1_9</t>
        </is>
      </c>
      <c r="D46" s="86" t="inlineStr"/>
      <c r="E46" s="86" t="inlineStr"/>
      <c r="F46" s="86" t="inlineStr"/>
      <c r="G46" s="86" t="inlineStr"/>
      <c r="H46" s="86" t="inlineStr"/>
      <c r="I46" s="87">
        <f>IFERROR(IF(AND(D46="",E46="",F46="",G46="",H46=""),"",AVERAGE(D46:H46)),"")</f>
        <v/>
      </c>
      <c r="J46" s="87">
        <f>IF(I46="","",I46)</f>
        <v/>
      </c>
    </row>
    <row r="47" ht="16" customHeight="1" s="33">
      <c r="A47" s="84" t="inlineStr">
        <is>
          <t>Inbound Trucking (Diesel, tonne-km)</t>
        </is>
      </c>
      <c r="B47" s="85" t="n">
        <v>62</v>
      </c>
      <c r="C47" s="85" t="inlineStr">
        <is>
          <t>S3_1_9</t>
        </is>
      </c>
      <c r="D47" s="86" t="inlineStr"/>
      <c r="E47" s="86" t="inlineStr"/>
      <c r="F47" s="86" t="inlineStr"/>
      <c r="G47" s="86" t="inlineStr"/>
      <c r="H47" s="86" t="inlineStr"/>
      <c r="I47" s="87">
        <f>IFERROR(IF(AND(D47="",E47="",F47="",G47="",H47=""),"",AVERAGE(D47:H47)),"")</f>
        <v/>
      </c>
      <c r="J47" s="87">
        <f>IF(I47="","",I47)</f>
        <v/>
      </c>
    </row>
    <row r="48" ht="16" customHeight="1" s="33">
      <c r="A48" s="84" t="inlineStr">
        <is>
          <t>Inbound LCV Delivery</t>
        </is>
      </c>
      <c r="B48" s="85" t="n">
        <v>63</v>
      </c>
      <c r="C48" s="85" t="inlineStr">
        <is>
          <t>S3_1_9</t>
        </is>
      </c>
      <c r="D48" s="86" t="inlineStr"/>
      <c r="E48" s="86" t="inlineStr"/>
      <c r="F48" s="86" t="inlineStr"/>
      <c r="G48" s="86" t="inlineStr"/>
      <c r="H48" s="86" t="inlineStr"/>
      <c r="I48" s="87">
        <f>IFERROR(IF(AND(D48="",E48="",F48="",G48="",H48=""),"",AVERAGE(D48:H48)),"")</f>
        <v/>
      </c>
      <c r="J48" s="87">
        <f>IF(I48="","",I48)</f>
        <v/>
      </c>
    </row>
    <row r="49" ht="16" customHeight="1" s="33">
      <c r="A49" s="84" t="inlineStr">
        <is>
          <t>Inbound HGV Delivery</t>
        </is>
      </c>
      <c r="B49" s="85" t="n">
        <v>64</v>
      </c>
      <c r="C49" s="85" t="inlineStr">
        <is>
          <t>S3_1_9</t>
        </is>
      </c>
      <c r="D49" s="86" t="inlineStr"/>
      <c r="E49" s="86" t="inlineStr"/>
      <c r="F49" s="86" t="inlineStr"/>
      <c r="G49" s="86" t="inlineStr"/>
      <c r="H49" s="86" t="inlineStr"/>
      <c r="I49" s="87">
        <f>IFERROR(IF(AND(D49="",E49="",F49="",G49="",H49=""),"",AVERAGE(D49:H49)),"")</f>
        <v/>
      </c>
      <c r="J49" s="87">
        <f>IF(I49="","",I49)</f>
        <v/>
      </c>
    </row>
    <row r="50" ht="16" customHeight="1" s="33">
      <c r="A50" s="84" t="inlineStr">
        <is>
          <t>Inbound Rail Freight</t>
        </is>
      </c>
      <c r="B50" s="85" t="n">
        <v>65</v>
      </c>
      <c r="C50" s="85" t="inlineStr">
        <is>
          <t>S3_1_9</t>
        </is>
      </c>
      <c r="D50" s="86" t="inlineStr"/>
      <c r="E50" s="86" t="inlineStr"/>
      <c r="F50" s="86" t="inlineStr"/>
      <c r="G50" s="86" t="inlineStr"/>
      <c r="H50" s="86" t="inlineStr"/>
      <c r="I50" s="87">
        <f>IFERROR(IF(AND(D50="",E50="",F50="",G50="",H50=""),"",AVERAGE(D50:H50)),"")</f>
        <v/>
      </c>
      <c r="J50" s="87">
        <f>IF(I50="","",I50)</f>
        <v/>
      </c>
    </row>
    <row r="51" ht="16" customHeight="1" s="33">
      <c r="A51" s="84" t="inlineStr">
        <is>
          <t>Inbound Air Freight</t>
        </is>
      </c>
      <c r="B51" s="85" t="n">
        <v>66</v>
      </c>
      <c r="C51" s="85" t="inlineStr">
        <is>
          <t>S3_1_9</t>
        </is>
      </c>
      <c r="D51" s="86" t="inlineStr"/>
      <c r="E51" s="86" t="inlineStr"/>
      <c r="F51" s="86" t="inlineStr"/>
      <c r="G51" s="86" t="inlineStr"/>
      <c r="H51" s="86" t="inlineStr"/>
      <c r="I51" s="87">
        <f>IFERROR(IF(AND(D51="",E51="",F51="",G51="",H51=""),"",AVERAGE(D51:H51)),"")</f>
        <v/>
      </c>
      <c r="J51" s="87">
        <f>IF(I51="","",I51)</f>
        <v/>
      </c>
    </row>
    <row r="52" ht="16" customHeight="1" s="33">
      <c r="A52" s="84" t="inlineStr">
        <is>
          <t>Waste to Landfill</t>
        </is>
      </c>
      <c r="B52" s="85" t="n">
        <v>68</v>
      </c>
      <c r="C52" s="85" t="inlineStr">
        <is>
          <t>S3_1_9</t>
        </is>
      </c>
      <c r="D52" s="86" t="inlineStr"/>
      <c r="E52" s="86" t="inlineStr"/>
      <c r="F52" s="86" t="inlineStr"/>
      <c r="G52" s="86" t="inlineStr"/>
      <c r="H52" s="86" t="inlineStr"/>
      <c r="I52" s="87">
        <f>IFERROR(IF(AND(D52="",E52="",F52="",G52="",H52=""),"",AVERAGE(D52:H52)),"")</f>
        <v/>
      </c>
      <c r="J52" s="87">
        <f>IF(I52="","",I52)</f>
        <v/>
      </c>
    </row>
    <row r="53" ht="16" customHeight="1" s="33">
      <c r="A53" s="84" t="inlineStr">
        <is>
          <t>Waste Recycled</t>
        </is>
      </c>
      <c r="B53" s="85" t="n">
        <v>69</v>
      </c>
      <c r="C53" s="85" t="inlineStr">
        <is>
          <t>S3_1_9</t>
        </is>
      </c>
      <c r="D53" s="86" t="inlineStr"/>
      <c r="E53" s="86" t="inlineStr"/>
      <c r="F53" s="86" t="inlineStr"/>
      <c r="G53" s="86" t="inlineStr"/>
      <c r="H53" s="86" t="inlineStr"/>
      <c r="I53" s="87">
        <f>IFERROR(IF(AND(D53="",E53="",F53="",G53="",H53=""),"",AVERAGE(D53:H53)),"")</f>
        <v/>
      </c>
      <c r="J53" s="87">
        <f>IF(I53="","",I53)</f>
        <v/>
      </c>
    </row>
    <row r="54" ht="16" customHeight="1" s="33">
      <c r="A54" s="84" t="inlineStr">
        <is>
          <t>Waste Incinerated</t>
        </is>
      </c>
      <c r="B54" s="85" t="n">
        <v>70</v>
      </c>
      <c r="C54" s="85" t="inlineStr">
        <is>
          <t>S3_1_9</t>
        </is>
      </c>
      <c r="D54" s="86" t="inlineStr"/>
      <c r="E54" s="86" t="inlineStr"/>
      <c r="F54" s="86" t="inlineStr"/>
      <c r="G54" s="86" t="inlineStr"/>
      <c r="H54" s="86" t="inlineStr"/>
      <c r="I54" s="87">
        <f>IFERROR(IF(AND(D54="",E54="",F54="",G54="",H54=""),"",AVERAGE(D54:H54)),"")</f>
        <v/>
      </c>
      <c r="J54" s="87">
        <f>IF(I54="","",I54)</f>
        <v/>
      </c>
    </row>
    <row r="55" ht="16" customHeight="1" s="33">
      <c r="A55" s="84" t="inlineStr">
        <is>
          <t>Wastewater Treated</t>
        </is>
      </c>
      <c r="B55" s="85" t="n">
        <v>71</v>
      </c>
      <c r="C55" s="85" t="inlineStr">
        <is>
          <t>S3_1_9</t>
        </is>
      </c>
      <c r="D55" s="86" t="inlineStr"/>
      <c r="E55" s="86" t="inlineStr"/>
      <c r="F55" s="86" t="inlineStr"/>
      <c r="G55" s="86" t="inlineStr"/>
      <c r="H55" s="86" t="inlineStr"/>
      <c r="I55" s="87">
        <f>IFERROR(IF(AND(D55="",E55="",F55="",G55="",H55=""),"",AVERAGE(D55:H55)),"")</f>
        <v/>
      </c>
      <c r="J55" s="87">
        <f>IF(I55="","",I55)</f>
        <v/>
      </c>
    </row>
    <row r="56" ht="16" customHeight="1" s="33">
      <c r="A56" s="84" t="inlineStr">
        <is>
          <t>Domestic Flights</t>
        </is>
      </c>
      <c r="B56" s="85" t="n">
        <v>73</v>
      </c>
      <c r="C56" s="85" t="inlineStr">
        <is>
          <t>S3_1_9</t>
        </is>
      </c>
      <c r="D56" s="86" t="inlineStr"/>
      <c r="E56" s="86" t="inlineStr"/>
      <c r="F56" s="86" t="inlineStr"/>
      <c r="G56" s="86" t="inlineStr"/>
      <c r="H56" s="86" t="inlineStr"/>
      <c r="I56" s="87">
        <f>IFERROR(IF(AND(D56="",E56="",F56="",G56="",H56=""),"",AVERAGE(D56:H56)),"")</f>
        <v/>
      </c>
      <c r="J56" s="87">
        <f>IF(I56="","",I56)</f>
        <v/>
      </c>
    </row>
    <row r="57" ht="16" customHeight="1" s="33">
      <c r="A57" s="84" t="inlineStr">
        <is>
          <t>International Flights</t>
        </is>
      </c>
      <c r="B57" s="85" t="n">
        <v>74</v>
      </c>
      <c r="C57" s="85" t="inlineStr">
        <is>
          <t>S3_1_9</t>
        </is>
      </c>
      <c r="D57" s="86" t="inlineStr"/>
      <c r="E57" s="86" t="inlineStr"/>
      <c r="F57" s="86" t="inlineStr"/>
      <c r="G57" s="86" t="inlineStr"/>
      <c r="H57" s="86" t="inlineStr"/>
      <c r="I57" s="87">
        <f>IFERROR(IF(AND(D57="",E57="",F57="",G57="",H57=""),"",AVERAGE(D57:H57)),"")</f>
        <v/>
      </c>
      <c r="J57" s="87">
        <f>IF(I57="","",I57)</f>
        <v/>
      </c>
    </row>
    <row r="58" ht="16" customHeight="1" s="33">
      <c r="A58" s="84" t="inlineStr">
        <is>
          <t>Rail Travel</t>
        </is>
      </c>
      <c r="B58" s="85" t="n">
        <v>75</v>
      </c>
      <c r="C58" s="85" t="inlineStr">
        <is>
          <t>S3_1_9</t>
        </is>
      </c>
      <c r="D58" s="86" t="inlineStr"/>
      <c r="E58" s="86" t="inlineStr"/>
      <c r="F58" s="86" t="inlineStr"/>
      <c r="G58" s="86" t="inlineStr"/>
      <c r="H58" s="86" t="inlineStr"/>
      <c r="I58" s="87">
        <f>IFERROR(IF(AND(D58="",E58="",F58="",G58="",H58=""),"",AVERAGE(D58:H58)),"")</f>
        <v/>
      </c>
      <c r="J58" s="87">
        <f>IF(I58="","",I58)</f>
        <v/>
      </c>
    </row>
    <row r="59" ht="16" customHeight="1" s="33">
      <c r="A59" s="84" t="inlineStr">
        <is>
          <t>Taxi Travel</t>
        </is>
      </c>
      <c r="B59" s="85" t="n">
        <v>76</v>
      </c>
      <c r="C59" s="85" t="inlineStr">
        <is>
          <t>S3_1_9</t>
        </is>
      </c>
      <c r="D59" s="86" t="inlineStr"/>
      <c r="E59" s="86" t="inlineStr"/>
      <c r="F59" s="86" t="inlineStr"/>
      <c r="G59" s="86" t="inlineStr"/>
      <c r="H59" s="86" t="inlineStr"/>
      <c r="I59" s="87">
        <f>IFERROR(IF(AND(D59="",E59="",F59="",G59="",H59=""),"",AVERAGE(D59:H59)),"")</f>
        <v/>
      </c>
      <c r="J59" s="87">
        <f>IF(I59="","",I59)</f>
        <v/>
      </c>
    </row>
    <row r="60" ht="16" customHeight="1" s="33">
      <c r="A60" s="84" t="inlineStr">
        <is>
          <t>Hotel Nights - 5 Star</t>
        </is>
      </c>
      <c r="B60" s="85" t="n">
        <v>77</v>
      </c>
      <c r="C60" s="85" t="inlineStr">
        <is>
          <t>S3_1_9</t>
        </is>
      </c>
      <c r="D60" s="86" t="inlineStr"/>
      <c r="E60" s="86" t="inlineStr"/>
      <c r="F60" s="86" t="inlineStr"/>
      <c r="G60" s="86" t="inlineStr"/>
      <c r="H60" s="86" t="inlineStr"/>
      <c r="I60" s="87">
        <f>IFERROR(IF(AND(D60="",E60="",F60="",G60="",H60=""),"",AVERAGE(D60:H60)),"")</f>
        <v/>
      </c>
      <c r="J60" s="87">
        <f>IF(I60="","",I60)</f>
        <v/>
      </c>
    </row>
    <row r="61" ht="16" customHeight="1" s="33">
      <c r="A61" s="84" t="inlineStr">
        <is>
          <t>Hotel Nights - Budget</t>
        </is>
      </c>
      <c r="B61" s="85" t="n">
        <v>78</v>
      </c>
      <c r="C61" s="85" t="inlineStr">
        <is>
          <t>S3_1_9</t>
        </is>
      </c>
      <c r="D61" s="86" t="inlineStr"/>
      <c r="E61" s="86" t="inlineStr"/>
      <c r="F61" s="86" t="inlineStr"/>
      <c r="G61" s="86" t="inlineStr"/>
      <c r="H61" s="86" t="inlineStr"/>
      <c r="I61" s="87">
        <f>IFERROR(IF(AND(D61="",E61="",F61="",G61="",H61=""),"",AVERAGE(D61:H61)),"")</f>
        <v/>
      </c>
      <c r="J61" s="87">
        <f>IF(I61="","",I61)</f>
        <v/>
      </c>
    </row>
    <row r="62" ht="16" customHeight="1" s="33">
      <c r="A62" s="84" t="inlineStr">
        <is>
          <t>Two-Wheeler Commute</t>
        </is>
      </c>
      <c r="B62" s="85" t="n">
        <v>80</v>
      </c>
      <c r="C62" s="85" t="inlineStr">
        <is>
          <t>S3_1_9</t>
        </is>
      </c>
      <c r="D62" s="86" t="inlineStr"/>
      <c r="E62" s="86" t="inlineStr"/>
      <c r="F62" s="86" t="inlineStr"/>
      <c r="G62" s="86" t="inlineStr"/>
      <c r="H62" s="86" t="inlineStr"/>
      <c r="I62" s="87">
        <f>IFERROR(IF(AND(D62="",E62="",F62="",G62="",H62=""),"",AVERAGE(D62:H62)),"")</f>
        <v/>
      </c>
      <c r="J62" s="87">
        <f>IF(I62="","",I62)</f>
        <v/>
      </c>
    </row>
    <row r="63" ht="16" customHeight="1" s="33">
      <c r="A63" s="84" t="inlineStr">
        <is>
          <t>Car Commute - Small Segment</t>
        </is>
      </c>
      <c r="B63" s="85" t="n">
        <v>81</v>
      </c>
      <c r="C63" s="85" t="inlineStr">
        <is>
          <t>S3_1_9</t>
        </is>
      </c>
      <c r="D63" s="86" t="inlineStr"/>
      <c r="E63" s="86" t="inlineStr"/>
      <c r="F63" s="86" t="inlineStr"/>
      <c r="G63" s="86" t="inlineStr"/>
      <c r="H63" s="86" t="inlineStr"/>
      <c r="I63" s="87">
        <f>IFERROR(IF(AND(D63="",E63="",F63="",G63="",H63=""),"",AVERAGE(D63:H63)),"")</f>
        <v/>
      </c>
      <c r="J63" s="87">
        <f>IF(I63="","",I63)</f>
        <v/>
      </c>
    </row>
    <row r="64" ht="16" customHeight="1" s="33">
      <c r="A64" s="84" t="inlineStr">
        <is>
          <t>Car Commute - Average</t>
        </is>
      </c>
      <c r="B64" s="85" t="n">
        <v>82</v>
      </c>
      <c r="C64" s="85" t="inlineStr">
        <is>
          <t>S3_1_9</t>
        </is>
      </c>
      <c r="D64" s="86" t="inlineStr"/>
      <c r="E64" s="86" t="inlineStr"/>
      <c r="F64" s="86" t="inlineStr"/>
      <c r="G64" s="86" t="inlineStr"/>
      <c r="H64" s="86" t="inlineStr"/>
      <c r="I64" s="87">
        <f>IFERROR(IF(AND(D64="",E64="",F64="",G64="",H64=""),"",AVERAGE(D64:H64)),"")</f>
        <v/>
      </c>
      <c r="J64" s="87">
        <f>IF(I64="","",I64)</f>
        <v/>
      </c>
    </row>
    <row r="65" ht="16" customHeight="1" s="33">
      <c r="A65" s="84" t="inlineStr">
        <is>
          <t>Car Commute - Large Segment</t>
        </is>
      </c>
      <c r="B65" s="85" t="n">
        <v>83</v>
      </c>
      <c r="C65" s="85" t="inlineStr">
        <is>
          <t>S3_1_9</t>
        </is>
      </c>
      <c r="D65" s="86" t="inlineStr"/>
      <c r="E65" s="86" t="inlineStr"/>
      <c r="F65" s="86" t="inlineStr"/>
      <c r="G65" s="86" t="inlineStr"/>
      <c r="H65" s="86" t="inlineStr"/>
      <c r="I65" s="87">
        <f>IFERROR(IF(AND(D65="",E65="",F65="",G65="",H65=""),"",AVERAGE(D65:H65)),"")</f>
        <v/>
      </c>
      <c r="J65" s="87">
        <f>IF(I65="","",I65)</f>
        <v/>
      </c>
    </row>
    <row r="66" ht="16" customHeight="1" s="33">
      <c r="A66" s="84" t="inlineStr">
        <is>
          <t>Bus Commute</t>
        </is>
      </c>
      <c r="B66" s="85" t="n">
        <v>84</v>
      </c>
      <c r="C66" s="85" t="inlineStr">
        <is>
          <t>S3_1_9</t>
        </is>
      </c>
      <c r="D66" s="86" t="inlineStr"/>
      <c r="E66" s="86" t="inlineStr"/>
      <c r="F66" s="86" t="inlineStr"/>
      <c r="G66" s="86" t="inlineStr"/>
      <c r="H66" s="86" t="inlineStr"/>
      <c r="I66" s="87">
        <f>IFERROR(IF(AND(D66="",E66="",F66="",G66="",H66=""),"",AVERAGE(D66:H66)),"")</f>
        <v/>
      </c>
      <c r="J66" s="87">
        <f>IF(I66="","",I66)</f>
        <v/>
      </c>
    </row>
    <row r="67" ht="16" customHeight="1" s="33">
      <c r="A67" s="84" t="inlineStr">
        <is>
          <t>Metro Rail Commute</t>
        </is>
      </c>
      <c r="B67" s="85" t="n">
        <v>85</v>
      </c>
      <c r="C67" s="85" t="inlineStr">
        <is>
          <t>S3_1_9</t>
        </is>
      </c>
      <c r="D67" s="86" t="inlineStr"/>
      <c r="E67" s="86" t="inlineStr"/>
      <c r="F67" s="86" t="inlineStr"/>
      <c r="G67" s="86" t="inlineStr"/>
      <c r="H67" s="86" t="inlineStr"/>
      <c r="I67" s="87">
        <f>IFERROR(IF(AND(D67="",E67="",F67="",G67="",H67=""),"",AVERAGE(D67:H67)),"")</f>
        <v/>
      </c>
      <c r="J67" s="87">
        <f>IF(I67="","",I67)</f>
        <v/>
      </c>
    </row>
    <row r="68" ht="16" customHeight="1" s="33">
      <c r="A68" s="84" t="inlineStr">
        <is>
          <t>Category 8: Upstream Leased Assets</t>
        </is>
      </c>
      <c r="B68" s="85" t="n">
        <v>86</v>
      </c>
      <c r="C68" s="85" t="inlineStr">
        <is>
          <t>S3_1_9</t>
        </is>
      </c>
      <c r="D68" s="86" t="inlineStr"/>
      <c r="E68" s="86" t="inlineStr"/>
      <c r="F68" s="86" t="inlineStr"/>
      <c r="G68" s="86" t="inlineStr"/>
      <c r="H68" s="86" t="inlineStr"/>
      <c r="I68" s="87">
        <f>IFERROR(IF(AND(D68="",E68="",F68="",G68="",H68=""),"",AVERAGE(D68:H68)),"")</f>
        <v/>
      </c>
      <c r="J68" s="87">
        <f>IF(I68="","",I68)</f>
        <v/>
      </c>
    </row>
    <row r="69" ht="16" customHeight="1" s="33">
      <c r="A69" s="84" t="inlineStr">
        <is>
          <t>Leased Office/Warehouse Electricity</t>
        </is>
      </c>
      <c r="B69" s="85" t="n">
        <v>87</v>
      </c>
      <c r="C69" s="85" t="inlineStr">
        <is>
          <t>S3_1_9</t>
        </is>
      </c>
      <c r="D69" s="86" t="inlineStr"/>
      <c r="E69" s="86" t="inlineStr"/>
      <c r="F69" s="86" t="inlineStr"/>
      <c r="G69" s="86" t="inlineStr"/>
      <c r="H69" s="86" t="inlineStr"/>
      <c r="I69" s="87">
        <f>IFERROR(IF(AND(D69="",E69="",F69="",G69="",H69=""),"",AVERAGE(D69:H69)),"")</f>
        <v/>
      </c>
      <c r="J69" s="87">
        <f>IF(I69="","",I69)</f>
        <v/>
      </c>
    </row>
    <row r="70" ht="16" customHeight="1" s="33">
      <c r="A70" s="84" t="inlineStr">
        <is>
          <t>Leased Facility Water Use</t>
        </is>
      </c>
      <c r="B70" s="85" t="n">
        <v>88</v>
      </c>
      <c r="C70" s="85" t="inlineStr">
        <is>
          <t>S3_1_9</t>
        </is>
      </c>
      <c r="D70" s="86" t="inlineStr"/>
      <c r="E70" s="86" t="inlineStr"/>
      <c r="F70" s="86" t="inlineStr"/>
      <c r="G70" s="86" t="inlineStr"/>
      <c r="H70" s="86" t="inlineStr"/>
      <c r="I70" s="87">
        <f>IFERROR(IF(AND(D70="",E70="",F70="",G70="",H70=""),"",AVERAGE(D70:H70)),"")</f>
        <v/>
      </c>
      <c r="J70" s="87">
        <f>IF(I70="","",I70)</f>
        <v/>
      </c>
    </row>
    <row r="71" ht="16" customHeight="1" s="33">
      <c r="A71" s="84" t="inlineStr">
        <is>
          <t>Outbound Trucking to Customers</t>
        </is>
      </c>
      <c r="B71" s="85" t="n">
        <v>90</v>
      </c>
      <c r="C71" s="85" t="inlineStr">
        <is>
          <t>S3_1_9</t>
        </is>
      </c>
      <c r="D71" s="86" t="inlineStr"/>
      <c r="E71" s="86" t="inlineStr"/>
      <c r="F71" s="86" t="inlineStr"/>
      <c r="G71" s="86" t="inlineStr"/>
      <c r="H71" s="86" t="inlineStr"/>
      <c r="I71" s="87">
        <f>IFERROR(IF(AND(D71="",E71="",F71="",G71="",H71=""),"",AVERAGE(D71:H71)),"")</f>
        <v/>
      </c>
      <c r="J71" s="87">
        <f>IF(I71="","",I71)</f>
        <v/>
      </c>
    </row>
    <row r="72" ht="16" customHeight="1" s="33">
      <c r="A72" s="84" t="inlineStr">
        <is>
          <t>Outbound Air Freight to Customers</t>
        </is>
      </c>
      <c r="B72" s="85" t="n">
        <v>91</v>
      </c>
      <c r="C72" s="85" t="inlineStr">
        <is>
          <t>S3_1_9</t>
        </is>
      </c>
      <c r="D72" s="86" t="inlineStr"/>
      <c r="E72" s="86" t="inlineStr"/>
      <c r="F72" s="86" t="inlineStr"/>
      <c r="G72" s="86" t="inlineStr"/>
      <c r="H72" s="86" t="inlineStr"/>
      <c r="I72" s="87">
        <f>IFERROR(IF(AND(D72="",E72="",F72="",G72="",H72=""),"",AVERAGE(D72:H72)),"")</f>
        <v/>
      </c>
      <c r="J72" s="87">
        <f>IF(I72="","",I72)</f>
        <v/>
      </c>
    </row>
    <row r="73" ht="16" customHeight="1" s="33">
      <c r="A73" s="84" t="inlineStr">
        <is>
          <t>Outbound Rail Distribution</t>
        </is>
      </c>
      <c r="B73" s="85" t="n">
        <v>92</v>
      </c>
      <c r="C73" s="85" t="inlineStr">
        <is>
          <t>S3_1_9</t>
        </is>
      </c>
      <c r="D73" s="86" t="inlineStr"/>
      <c r="E73" s="86" t="inlineStr"/>
      <c r="F73" s="86" t="inlineStr"/>
      <c r="G73" s="86" t="inlineStr"/>
      <c r="H73" s="86" t="inlineStr"/>
      <c r="I73" s="87">
        <f>IFERROR(IF(AND(D73="",E73="",F73="",G73="",H73=""),"",AVERAGE(D73:H73)),"")</f>
        <v/>
      </c>
      <c r="J73" s="87">
        <f>IF(I73="","",I73)</f>
        <v/>
      </c>
    </row>
    <row r="75">
      <c r="A75" s="89" t="inlineStr">
        <is>
          <t>SCOPE 3 — Categories 10–15 (Hard Categories — Guided Calculators)</t>
        </is>
      </c>
      <c r="B75" s="44" t="n"/>
      <c r="C75" s="44" t="n"/>
      <c r="D75" s="44" t="n"/>
      <c r="E75" s="44" t="n"/>
      <c r="F75" s="44" t="n"/>
      <c r="G75" s="44" t="n"/>
      <c r="H75" s="44" t="n"/>
      <c r="I75" s="44" t="n"/>
      <c r="J75" s="45" t="n"/>
    </row>
    <row r="76" ht="16" customHeight="1" s="33">
      <c r="A76" s="93" t="inlineStr">
        <is>
          <t>Category 10: Processing of Sold Products</t>
        </is>
      </c>
      <c r="B76" s="94" t="inlineStr">
        <is>
          <t>See Scope3_Hard_Categories tab</t>
        </is>
      </c>
      <c r="C76" s="45" t="n"/>
      <c r="D76" s="95" t="inlineStr"/>
      <c r="E76" s="95" t="inlineStr"/>
      <c r="F76" s="95" t="inlineStr"/>
      <c r="G76" s="95" t="inlineStr"/>
      <c r="H76" s="95" t="inlineStr"/>
      <c r="I76" s="96">
        <f>IFERROR(IF(AND(D76="",E76="",F76="",G76="",H76=""),"",AVERAGE(D76:H76)),"")</f>
        <v/>
      </c>
      <c r="J76" s="96">
        <f>IF(I76="","",I76)</f>
        <v/>
      </c>
    </row>
    <row r="77" ht="16" customHeight="1" s="33">
      <c r="A77" s="93" t="inlineStr">
        <is>
          <t>Category 11: Use of Sold Products</t>
        </is>
      </c>
      <c r="B77" s="94" t="inlineStr">
        <is>
          <t>See Scope3_Hard_Categories tab</t>
        </is>
      </c>
      <c r="C77" s="45" t="n"/>
      <c r="D77" s="95" t="inlineStr"/>
      <c r="E77" s="95" t="inlineStr"/>
      <c r="F77" s="95" t="inlineStr"/>
      <c r="G77" s="95" t="inlineStr"/>
      <c r="H77" s="95" t="inlineStr"/>
      <c r="I77" s="96">
        <f>IFERROR(IF(AND(D77="",E77="",F77="",G77="",H77=""),"",AVERAGE(D77:H77)),"")</f>
        <v/>
      </c>
      <c r="J77" s="96">
        <f>IF(I77="","",I77)</f>
        <v/>
      </c>
    </row>
    <row r="78" ht="16" customHeight="1" s="33">
      <c r="A78" s="93" t="inlineStr">
        <is>
          <t>Category 12: End-of-Life Treatment</t>
        </is>
      </c>
      <c r="B78" s="94" t="inlineStr">
        <is>
          <t>See Scope3_Hard_Categories tab</t>
        </is>
      </c>
      <c r="C78" s="45" t="n"/>
      <c r="D78" s="95" t="inlineStr"/>
      <c r="E78" s="95" t="inlineStr"/>
      <c r="F78" s="95" t="inlineStr"/>
      <c r="G78" s="95" t="inlineStr"/>
      <c r="H78" s="95" t="inlineStr"/>
      <c r="I78" s="96">
        <f>IFERROR(IF(AND(D78="",E78="",F78="",G78="",H78=""),"",AVERAGE(D78:H78)),"")</f>
        <v/>
      </c>
      <c r="J78" s="96">
        <f>IF(I78="","",I78)</f>
        <v/>
      </c>
    </row>
    <row r="79" ht="16" customHeight="1" s="33">
      <c r="A79" s="93" t="inlineStr">
        <is>
          <t>Category 13: Downstream Leased Assets</t>
        </is>
      </c>
      <c r="B79" s="94" t="inlineStr">
        <is>
          <t>See Scope3_Hard_Categories tab</t>
        </is>
      </c>
      <c r="C79" s="45" t="n"/>
      <c r="D79" s="95" t="inlineStr"/>
      <c r="E79" s="95" t="inlineStr"/>
      <c r="F79" s="95" t="inlineStr"/>
      <c r="G79" s="95" t="inlineStr"/>
      <c r="H79" s="95" t="inlineStr"/>
      <c r="I79" s="96">
        <f>IFERROR(IF(AND(D79="",E79="",F79="",G79="",H79=""),"",AVERAGE(D79:H79)),"")</f>
        <v/>
      </c>
      <c r="J79" s="96">
        <f>IF(I79="","",I79)</f>
        <v/>
      </c>
    </row>
    <row r="80" ht="16" customHeight="1" s="33">
      <c r="A80" s="93" t="inlineStr">
        <is>
          <t>Category 14: Franchises</t>
        </is>
      </c>
      <c r="B80" s="94" t="inlineStr">
        <is>
          <t>See Scope3_Hard_Categories tab</t>
        </is>
      </c>
      <c r="C80" s="45" t="n"/>
      <c r="D80" s="95" t="inlineStr"/>
      <c r="E80" s="95" t="inlineStr"/>
      <c r="F80" s="95" t="inlineStr"/>
      <c r="G80" s="95" t="inlineStr"/>
      <c r="H80" s="95" t="inlineStr"/>
      <c r="I80" s="96">
        <f>IFERROR(IF(AND(D80="",E80="",F80="",G80="",H80=""),"",AVERAGE(D80:H80)),"")</f>
        <v/>
      </c>
      <c r="J80" s="96">
        <f>IF(I80="","",I80)</f>
        <v/>
      </c>
    </row>
    <row r="81" ht="16" customHeight="1" s="33">
      <c r="A81" s="93" t="inlineStr">
        <is>
          <t>Category 15: Investments</t>
        </is>
      </c>
      <c r="B81" s="94" t="inlineStr">
        <is>
          <t>See Scope3_Hard_Categories tab</t>
        </is>
      </c>
      <c r="C81" s="45" t="n"/>
      <c r="D81" s="95" t="inlineStr"/>
      <c r="E81" s="95" t="inlineStr"/>
      <c r="F81" s="95" t="inlineStr"/>
      <c r="G81" s="95" t="inlineStr"/>
      <c r="H81" s="95" t="inlineStr"/>
      <c r="I81" s="96">
        <f>IFERROR(IF(AND(D81="",E81="",F81="",G81="",H81=""),"",AVERAGE(D81:H81)),"")</f>
        <v/>
      </c>
      <c r="J81" s="96">
        <f>IF(I81="","",I81)</f>
        <v/>
      </c>
    </row>
    <row r="83">
      <c r="A83" s="97" t="inlineStr">
        <is>
          <t>DQR ROLLUP SUMMARY (feeds Dashboard)</t>
        </is>
      </c>
      <c r="B83" s="44" t="n"/>
      <c r="C83" s="44" t="n"/>
      <c r="D83" s="44" t="n"/>
      <c r="E83" s="44" t="n"/>
      <c r="F83" s="44" t="n"/>
      <c r="G83" s="44" t="n"/>
      <c r="H83" s="44" t="n"/>
      <c r="I83" s="44" t="n"/>
      <c r="J83" s="45" t="n"/>
    </row>
    <row r="84" ht="16" customHeight="1" s="33">
      <c r="A84" s="98" t="inlineStr">
        <is>
          <t>Average DQR — Scope 1</t>
        </is>
      </c>
      <c r="B84" s="44" t="n"/>
      <c r="C84" s="44" t="n"/>
      <c r="D84" s="44" t="n"/>
      <c r="E84" s="44" t="n"/>
      <c r="F84" s="44" t="n"/>
      <c r="G84" s="44" t="n"/>
      <c r="H84" s="44" t="n"/>
      <c r="I84" s="45" t="n"/>
      <c r="J84" s="48">
        <f>IFERROR(AVERAGEIF(J10:J22,"&lt;&gt;"""),"")</f>
        <v/>
      </c>
    </row>
    <row r="85" ht="16" customHeight="1" s="33">
      <c r="A85" s="98" t="inlineStr">
        <is>
          <t>Average DQR — Scope 2 (Location-Based)</t>
        </is>
      </c>
      <c r="B85" s="44" t="n"/>
      <c r="C85" s="44" t="n"/>
      <c r="D85" s="44" t="n"/>
      <c r="E85" s="44" t="n"/>
      <c r="F85" s="44" t="n"/>
      <c r="G85" s="44" t="n"/>
      <c r="H85" s="44" t="n"/>
      <c r="I85" s="45" t="n"/>
      <c r="J85" s="48">
        <f>IFERROR(AVERAGEIF(J24:J27,"&lt;&gt;"""),"")</f>
        <v/>
      </c>
    </row>
    <row r="86" ht="16" customHeight="1" s="33">
      <c r="A86" s="98" t="inlineStr">
        <is>
          <t>Average DQR — Scope 2 (Market-Based)</t>
        </is>
      </c>
      <c r="B86" s="44" t="n"/>
      <c r="C86" s="44" t="n"/>
      <c r="D86" s="44" t="n"/>
      <c r="E86" s="44" t="n"/>
      <c r="F86" s="44" t="n"/>
      <c r="G86" s="44" t="n"/>
      <c r="H86" s="44" t="n"/>
      <c r="I86" s="45" t="n"/>
      <c r="J86" s="48">
        <f>IFERROR(AVERAGEIF(J29:J30,"&lt;&gt;"""),"")</f>
        <v/>
      </c>
    </row>
    <row r="87" ht="16" customHeight="1" s="33">
      <c r="A87" s="98" t="inlineStr">
        <is>
          <t>Average DQR — Scope 3 Cat 1–9</t>
        </is>
      </c>
      <c r="B87" s="44" t="n"/>
      <c r="C87" s="44" t="n"/>
      <c r="D87" s="44" t="n"/>
      <c r="E87" s="44" t="n"/>
      <c r="F87" s="44" t="n"/>
      <c r="G87" s="44" t="n"/>
      <c r="H87" s="44" t="n"/>
      <c r="I87" s="45" t="n"/>
      <c r="J87" s="48">
        <f>IFERROR(AVERAGEIF(J32:J73,"&lt;&gt;"""),"")</f>
        <v/>
      </c>
    </row>
    <row r="88">
      <c r="A88" s="98" t="inlineStr">
        <is>
          <t>Average DQR — Scope 3 Cat 10–15</t>
        </is>
      </c>
      <c r="B88" s="44" t="n"/>
      <c r="C88" s="44" t="n"/>
      <c r="D88" s="44" t="n"/>
      <c r="E88" s="44" t="n"/>
      <c r="F88" s="44" t="n"/>
      <c r="G88" s="44" t="n"/>
      <c r="H88" s="44" t="n"/>
      <c r="I88" s="45" t="n"/>
      <c r="J88" s="48">
        <f>IFERROR(AVERAGEIF(J76:J81,"&lt;&gt;"""),"")</f>
        <v/>
      </c>
    </row>
    <row r="89">
      <c r="A89" s="43" t="inlineStr">
        <is>
          <t>OVERALL INVENTORY DQR</t>
        </is>
      </c>
      <c r="B89" s="44" t="n"/>
      <c r="C89" s="44" t="n"/>
      <c r="D89" s="44" t="n"/>
      <c r="E89" s="44" t="n"/>
      <c r="F89" s="44" t="n"/>
      <c r="G89" s="44" t="n"/>
      <c r="H89" s="44" t="n"/>
      <c r="I89" s="45" t="n"/>
      <c r="J89" s="99">
        <f>IFERROR(AVERAGE(J84,J85,J86,J87,J88),"")</f>
        <v/>
      </c>
    </row>
  </sheetData>
  <mergeCells count="20">
    <mergeCell ref="A23:J23"/>
    <mergeCell ref="A84:I84"/>
    <mergeCell ref="B81:C81"/>
    <mergeCell ref="A89:I89"/>
    <mergeCell ref="A28:J28"/>
    <mergeCell ref="A86:I86"/>
    <mergeCell ref="B77:C77"/>
    <mergeCell ref="A31:J31"/>
    <mergeCell ref="A85:I85"/>
    <mergeCell ref="A9:J9"/>
    <mergeCell ref="A83:J83"/>
    <mergeCell ref="A1:J1"/>
    <mergeCell ref="B78:C78"/>
    <mergeCell ref="A75:J75"/>
    <mergeCell ref="B80:C80"/>
    <mergeCell ref="B76:C76"/>
    <mergeCell ref="A88:I88"/>
    <mergeCell ref="A2:J2"/>
    <mergeCell ref="B79:C79"/>
    <mergeCell ref="A87:I8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44" customWidth="1" style="32" min="2" max="2"/>
    <col width="30" customWidth="1" style="32" min="3" max="3"/>
    <col width="22" customWidth="1" style="32" min="4" max="4"/>
    <col width="46" customWidth="1" style="32" min="5" max="5"/>
  </cols>
  <sheetData>
    <row r="1" ht="15" customHeight="1" s="33">
      <c r="A1" s="54" t="inlineStr">
        <is>
          <t>#</t>
        </is>
      </c>
      <c r="B1" s="54" t="inlineStr">
        <is>
          <t>Scope 3 Category</t>
        </is>
      </c>
      <c r="C1" s="54" t="inlineStr">
        <is>
          <t>Where it's calculated</t>
        </is>
      </c>
      <c r="D1" s="54" t="inlineStr">
        <is>
          <t>Screening Decision</t>
        </is>
      </c>
      <c r="E1" s="54" t="inlineStr">
        <is>
          <t>Justification (required if Excluded / N/A)</t>
        </is>
      </c>
    </row>
    <row r="2" ht="21.75" customHeight="1" s="33">
      <c r="A2" s="56" t="n">
        <v>1</v>
      </c>
      <c r="B2" s="56" t="inlineStr">
        <is>
          <t>Category 1: Purchased Goods &amp; Services</t>
        </is>
      </c>
      <c r="C2" s="100" t="inlineStr">
        <is>
          <t>Covered in GHG_Calculator (spend + material proxies)</t>
        </is>
      </c>
      <c r="D2" s="101" t="inlineStr">
        <is>
          <t>Included</t>
        </is>
      </c>
      <c r="E2" s="101" t="n"/>
    </row>
    <row r="3" ht="15" customHeight="1" s="33">
      <c r="A3" s="56" t="n">
        <v>2</v>
      </c>
      <c r="B3" s="56" t="inlineStr">
        <is>
          <t>Category 2: Capital Goods</t>
        </is>
      </c>
      <c r="C3" s="100" t="inlineStr">
        <is>
          <t>Covered in GHG_Calculator</t>
        </is>
      </c>
      <c r="D3" s="101" t="inlineStr">
        <is>
          <t>Included</t>
        </is>
      </c>
      <c r="E3" s="101" t="n"/>
    </row>
    <row r="4" ht="23.25" customHeight="1" s="33">
      <c r="A4" s="56" t="n">
        <v>3</v>
      </c>
      <c r="B4" s="56" t="inlineStr">
        <is>
          <t>Category 3: Fuel- and Energy-Related Activities (not in Scope 1/2)</t>
        </is>
      </c>
      <c r="C4" s="100" t="inlineStr">
        <is>
          <t>Covered in GHG_Calculator</t>
        </is>
      </c>
      <c r="D4" s="101" t="inlineStr">
        <is>
          <t>Included</t>
        </is>
      </c>
      <c r="E4" s="101" t="n"/>
    </row>
    <row r="5" ht="15" customHeight="1" s="33">
      <c r="A5" s="56" t="n">
        <v>4</v>
      </c>
      <c r="B5" s="56" t="inlineStr">
        <is>
          <t>Category 4: Upstream Transportation &amp; Distribution</t>
        </is>
      </c>
      <c r="C5" s="100" t="inlineStr">
        <is>
          <t>Covered in GHG_Calculator</t>
        </is>
      </c>
      <c r="D5" s="101" t="inlineStr">
        <is>
          <t>Included</t>
        </is>
      </c>
      <c r="E5" s="101" t="n"/>
    </row>
    <row r="6" ht="15" customHeight="1" s="33">
      <c r="A6" s="56" t="n">
        <v>5</v>
      </c>
      <c r="B6" s="56" t="inlineStr">
        <is>
          <t>Category 5: Waste Generated in Operations</t>
        </is>
      </c>
      <c r="C6" s="100" t="inlineStr">
        <is>
          <t>Covered in GHG_Calculator</t>
        </is>
      </c>
      <c r="D6" s="101" t="inlineStr">
        <is>
          <t>Included</t>
        </is>
      </c>
      <c r="E6" s="101" t="n"/>
    </row>
    <row r="7" ht="15" customHeight="1" s="33">
      <c r="A7" s="56" t="n">
        <v>6</v>
      </c>
      <c r="B7" s="56" t="inlineStr">
        <is>
          <t>Category 6: Business Travel</t>
        </is>
      </c>
      <c r="C7" s="100" t="inlineStr">
        <is>
          <t>Covered in GHG_Calculator</t>
        </is>
      </c>
      <c r="D7" s="101" t="inlineStr">
        <is>
          <t>Included</t>
        </is>
      </c>
      <c r="E7" s="101" t="n"/>
    </row>
    <row r="8" ht="15" customHeight="1" s="33">
      <c r="A8" s="56" t="n">
        <v>7</v>
      </c>
      <c r="B8" s="56" t="inlineStr">
        <is>
          <t>Category 7: Employee Commuting</t>
        </is>
      </c>
      <c r="C8" s="100" t="inlineStr">
        <is>
          <t>Covered in GHG_Calculator</t>
        </is>
      </c>
      <c r="D8" s="101" t="inlineStr">
        <is>
          <t>Included</t>
        </is>
      </c>
      <c r="E8" s="101" t="n"/>
    </row>
    <row r="9" ht="15" customHeight="1" s="33">
      <c r="A9" s="56" t="n">
        <v>8</v>
      </c>
      <c r="B9" s="56" t="inlineStr">
        <is>
          <t>Category 8: Upstream Leased Assets</t>
        </is>
      </c>
      <c r="C9" s="100" t="inlineStr">
        <is>
          <t>Covered in GHG_Calculator</t>
        </is>
      </c>
      <c r="D9" s="101" t="inlineStr">
        <is>
          <t>Included</t>
        </is>
      </c>
      <c r="E9" s="101" t="n"/>
    </row>
    <row r="10" ht="15" customHeight="1" s="33">
      <c r="A10" s="56" t="n">
        <v>9</v>
      </c>
      <c r="B10" s="56" t="inlineStr">
        <is>
          <t>Category 9: Downstream Transportation &amp; Distribution</t>
        </is>
      </c>
      <c r="C10" s="100" t="inlineStr">
        <is>
          <t>Covered in GHG_Calculator</t>
        </is>
      </c>
      <c r="D10" s="101" t="inlineStr">
        <is>
          <t>Included</t>
        </is>
      </c>
      <c r="E10" s="101" t="n"/>
    </row>
    <row r="11" ht="15" customHeight="1" s="33">
      <c r="A11" s="56" t="n">
        <v>10</v>
      </c>
      <c r="B11" s="56" t="inlineStr">
        <is>
          <t>Category 10: Processing of Sold Products</t>
        </is>
      </c>
      <c r="C11" s="100" t="inlineStr">
        <is>
          <t>Scope3_Hard_Categories tab</t>
        </is>
      </c>
      <c r="D11" s="101" t="inlineStr">
        <is>
          <t>Included</t>
        </is>
      </c>
      <c r="E11" s="101" t="n"/>
    </row>
    <row r="12" ht="15" customHeight="1" s="33">
      <c r="A12" s="56" t="n">
        <v>11</v>
      </c>
      <c r="B12" s="56" t="inlineStr">
        <is>
          <t>Category 11: Use of Sold Products</t>
        </is>
      </c>
      <c r="C12" s="100" t="inlineStr">
        <is>
          <t>Scope3_Hard_Categories tab</t>
        </is>
      </c>
      <c r="D12" s="101" t="inlineStr">
        <is>
          <t>Included</t>
        </is>
      </c>
      <c r="E12" s="101" t="n"/>
    </row>
    <row r="13" ht="15" customHeight="1" s="33">
      <c r="A13" s="56" t="n">
        <v>12</v>
      </c>
      <c r="B13" s="56" t="inlineStr">
        <is>
          <t>Category 12: End-of-Life Treatment of Sold Products</t>
        </is>
      </c>
      <c r="C13" s="100" t="inlineStr">
        <is>
          <t>Scope3_Hard_Categories tab</t>
        </is>
      </c>
      <c r="D13" s="101" t="inlineStr">
        <is>
          <t>Included</t>
        </is>
      </c>
      <c r="E13" s="101" t="n"/>
    </row>
    <row r="14" ht="15" customHeight="1" s="33">
      <c r="A14" s="56" t="n">
        <v>13</v>
      </c>
      <c r="B14" s="56" t="inlineStr">
        <is>
          <t>Category 13: Downstream Leased Assets</t>
        </is>
      </c>
      <c r="C14" s="100" t="inlineStr">
        <is>
          <t>Scope3_Hard_Categories tab</t>
        </is>
      </c>
      <c r="D14" s="101" t="inlineStr">
        <is>
          <t>Included</t>
        </is>
      </c>
      <c r="E14" s="101" t="n"/>
    </row>
    <row r="15" ht="15" customHeight="1" s="33">
      <c r="A15" s="56" t="n">
        <v>14</v>
      </c>
      <c r="B15" s="56" t="inlineStr">
        <is>
          <t>Category 14: Franchises</t>
        </is>
      </c>
      <c r="C15" s="100" t="inlineStr">
        <is>
          <t>Scope3_Hard_Categories tab</t>
        </is>
      </c>
      <c r="D15" s="101" t="inlineStr">
        <is>
          <t>Included</t>
        </is>
      </c>
      <c r="E15" s="101" t="n"/>
    </row>
    <row r="16" ht="15" customHeight="1" s="33">
      <c r="A16" s="56" t="n">
        <v>15</v>
      </c>
      <c r="B16" s="56" t="inlineStr">
        <is>
          <t>Category 15: Investments</t>
        </is>
      </c>
      <c r="C16" s="100" t="inlineStr">
        <is>
          <t>Scope3_Hard_Categories tab</t>
        </is>
      </c>
      <c r="D16" s="101" t="inlineStr">
        <is>
          <t>Included</t>
        </is>
      </c>
      <c r="E16" s="101" t="n"/>
    </row>
    <row r="18" ht="31.5" customHeight="1" s="33">
      <c r="A18" s="35" t="inlineStr">
        <is>
          <t>A category can only be left out of the Dashboard total by an explicit 'Excluded' or 'Not Applicable' decision with a stated reason here — nothing is omitted silently. The Dashboard lists excluded categories with their justification alongside the total.</t>
        </is>
      </c>
    </row>
  </sheetData>
  <mergeCells count="1">
    <mergeCell ref="A18:E18"/>
  </mergeCells>
  <dataValidations count="1">
    <dataValidation sqref="D2:D16" showDropDown="0" showInputMessage="0" showErrorMessage="0" allowBlank="0" type="list" errorStyle="stop" operator="between">
      <formula1>"Included,Excluded - Immaterial,Not Applicable"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32" min="1" max="1"/>
    <col width="16" customWidth="1" style="32" min="2" max="3"/>
    <col width="16" customWidth="1" style="33" min="3" max="3"/>
    <col width="16" customWidth="1" style="32" min="4" max="4"/>
  </cols>
  <sheetData>
    <row r="1" ht="15.75" customHeight="1" s="33">
      <c r="A1" s="53" t="inlineStr">
        <is>
          <t>Scope 3 Categories 10-15 — Guided Calculators</t>
        </is>
      </c>
    </row>
    <row r="2" ht="31.5" customHeight="1" s="33">
      <c r="A2" s="35" t="inlineStr">
        <is>
          <t>These categories can't be estimated from a universal emission factor — each depends on your own product or company data. Fill in the yellow input cells; results calculate live. If you don't have the data yet, go mark the category 'Excluded' in Materiality_Screening with a reason rather than leaving zeros here.</t>
        </is>
      </c>
    </row>
    <row r="4" ht="15" customHeight="1" s="33">
      <c r="A4" s="54" t="inlineStr">
        <is>
          <t>Category 10: Processing of Sold Products</t>
        </is>
      </c>
    </row>
    <row r="5" ht="15" customHeight="1" s="33">
      <c r="A5" s="62" t="inlineStr">
        <is>
          <t>Input</t>
        </is>
      </c>
      <c r="B5" s="62" t="inlineStr">
        <is>
          <t>Value</t>
        </is>
      </c>
      <c r="C5" s="62" t="inlineStr">
        <is>
          <t>Unit</t>
        </is>
      </c>
    </row>
    <row r="6" ht="15" customHeight="1" s="33">
      <c r="A6" s="32" t="inlineStr">
        <is>
          <t>Units sold requiring further processing</t>
        </is>
      </c>
      <c r="B6" s="102" t="n">
        <v>0</v>
      </c>
      <c r="C6" s="32" t="inlineStr">
        <is>
          <t>Units</t>
        </is>
      </c>
    </row>
    <row r="7" ht="15" customHeight="1" s="33">
      <c r="A7" s="32" t="inlineStr">
        <is>
          <t>Downstream processing energy per unit</t>
        </is>
      </c>
      <c r="B7" s="102" t="n">
        <v>0</v>
      </c>
      <c r="C7" s="32" t="inlineStr">
        <is>
          <t>kWh/unit</t>
        </is>
      </c>
    </row>
    <row r="8" ht="15" customHeight="1" s="33">
      <c r="A8" s="32" t="inlineStr">
        <is>
          <t>Grid emission factor (auto, from DB_Master)</t>
        </is>
      </c>
      <c r="B8" s="32">
        <f>VLOOKUP("Grid_India_CEA", DB_Master!$A:$B, 2, 0)</f>
        <v/>
      </c>
      <c r="C8" s="32" t="inlineStr">
        <is>
          <t>kgCO2e/kWh</t>
        </is>
      </c>
    </row>
    <row r="9" ht="15" customHeight="1" s="33">
      <c r="A9" s="103" t="inlineStr">
        <is>
          <t>RESULT: Category 10 (tCO2e)</t>
        </is>
      </c>
      <c r="B9" s="32">
        <f>(B6*B7*B8)/1000</f>
        <v/>
      </c>
    </row>
    <row r="11" ht="15" customHeight="1" s="33">
      <c r="A11" s="54" t="inlineStr">
        <is>
          <t>Category 11: Use of Sold Products</t>
        </is>
      </c>
    </row>
    <row r="12" ht="15" customHeight="1" s="33">
      <c r="A12" s="62" t="inlineStr">
        <is>
          <t>Input</t>
        </is>
      </c>
      <c r="B12" s="62" t="inlineStr">
        <is>
          <t>Value</t>
        </is>
      </c>
      <c r="C12" s="62" t="inlineStr">
        <is>
          <t>Unit</t>
        </is>
      </c>
    </row>
    <row r="13" ht="15" customHeight="1" s="33">
      <c r="A13" s="32" t="inlineStr">
        <is>
          <t>Units sold</t>
        </is>
      </c>
      <c r="B13" s="102" t="n">
        <v>0</v>
      </c>
      <c r="C13" s="32" t="inlineStr">
        <is>
          <t>Units</t>
        </is>
      </c>
    </row>
    <row r="14" ht="15" customHeight="1" s="33">
      <c r="A14" s="32" t="inlineStr">
        <is>
          <t>In-use energy draw per unit per year</t>
        </is>
      </c>
      <c r="B14" s="102" t="n">
        <v>0</v>
      </c>
      <c r="C14" s="32" t="inlineStr">
        <is>
          <t>kWh/unit/year</t>
        </is>
      </c>
    </row>
    <row r="15" ht="15" customHeight="1" s="33">
      <c r="A15" s="32" t="inlineStr">
        <is>
          <t>Expected product lifetime</t>
        </is>
      </c>
      <c r="B15" s="102" t="n">
        <v>0</v>
      </c>
      <c r="C15" s="32" t="inlineStr">
        <is>
          <t>Years</t>
        </is>
      </c>
    </row>
    <row r="16" ht="15" customHeight="1" s="33">
      <c r="A16" s="32" t="inlineStr">
        <is>
          <t>Grid emission factor (auto, from DB_Master)</t>
        </is>
      </c>
      <c r="B16" s="32">
        <f>VLOOKUP("Grid_India_CEA", DB_Master!$A:$B, 2, 0)</f>
        <v/>
      </c>
      <c r="C16" s="32" t="inlineStr">
        <is>
          <t>kgCO2e/kWh</t>
        </is>
      </c>
    </row>
    <row r="17" ht="15" customHeight="1" s="33">
      <c r="A17" s="103" t="inlineStr">
        <is>
          <t>RESULT: Category 11 (tCO2e)</t>
        </is>
      </c>
      <c r="B17" s="32">
        <f>(B13*B14*B15*B16)/1000</f>
        <v/>
      </c>
    </row>
    <row r="19" ht="15" customHeight="1" s="33">
      <c r="A19" s="54" t="inlineStr">
        <is>
          <t>Category 12: End-of-Life Treatment of Sold Products</t>
        </is>
      </c>
    </row>
    <row r="20" ht="15" customHeight="1" s="33">
      <c r="A20" s="62" t="inlineStr">
        <is>
          <t>Input</t>
        </is>
      </c>
      <c r="B20" s="62" t="inlineStr">
        <is>
          <t>Value</t>
        </is>
      </c>
      <c r="C20" s="62" t="inlineStr">
        <is>
          <t>Unit</t>
        </is>
      </c>
    </row>
    <row r="21" ht="15" customHeight="1" s="33">
      <c r="A21" s="32" t="inlineStr">
        <is>
          <t>Units sold</t>
        </is>
      </c>
      <c r="B21" s="102" t="n">
        <v>0</v>
      </c>
      <c r="C21" s="32" t="inlineStr">
        <is>
          <t>Units</t>
        </is>
      </c>
    </row>
    <row r="22" ht="15" customHeight="1" s="33">
      <c r="A22" s="32" t="inlineStr">
        <is>
          <t>Weight per unit</t>
        </is>
      </c>
      <c r="B22" s="102" t="n">
        <v>0</v>
      </c>
      <c r="C22" s="32" t="inlineStr">
        <is>
          <t>kg/unit</t>
        </is>
      </c>
    </row>
    <row r="23" ht="15" customHeight="1" s="33">
      <c r="A23" s="32" t="inlineStr">
        <is>
          <t>Share disposed to landfill</t>
        </is>
      </c>
      <c r="B23" s="102" t="n">
        <v>0</v>
      </c>
      <c r="C23" s="32" t="inlineStr">
        <is>
          <t>% (0-1)</t>
        </is>
      </c>
    </row>
    <row r="24" ht="15" customHeight="1" s="33">
      <c r="A24" s="32" t="inlineStr">
        <is>
          <t>Share recycled</t>
        </is>
      </c>
      <c r="B24" s="102" t="n">
        <v>0</v>
      </c>
      <c r="C24" s="32" t="inlineStr">
        <is>
          <t>% (0-1)</t>
        </is>
      </c>
    </row>
    <row r="25" ht="15" customHeight="1" s="33">
      <c r="A25" s="32" t="inlineStr">
        <is>
          <t>Share incinerated</t>
        </is>
      </c>
      <c r="B25" s="102" t="n">
        <v>0</v>
      </c>
      <c r="C25" s="32" t="inlineStr">
        <is>
          <t>% (0-1)</t>
        </is>
      </c>
    </row>
    <row r="26" ht="15" customHeight="1" s="33">
      <c r="A26" s="32" t="inlineStr">
        <is>
          <t>Check: shares must sum to 100%</t>
        </is>
      </c>
      <c r="B26" s="32">
        <f>IF(SUM(B23:B25)=1,"OK","FIX: shares do not sum to 100%")</f>
        <v/>
      </c>
    </row>
    <row r="27" ht="15" customHeight="1" s="33">
      <c r="A27" s="32" t="inlineStr">
        <is>
          <t>Landfill factor (auto, from DB_Master)</t>
        </is>
      </c>
      <c r="B27" s="32">
        <f>VLOOKUP("Waste_Landfill", DB_Master!$A:$B, 2, 0)</f>
        <v/>
      </c>
      <c r="C27" s="32" t="inlineStr">
        <is>
          <t>kgCO2e/kg</t>
        </is>
      </c>
    </row>
    <row r="28" ht="15" customHeight="1" s="33">
      <c r="A28" s="32" t="inlineStr">
        <is>
          <t>Recycling factor (auto, from DB_Master)</t>
        </is>
      </c>
      <c r="B28" s="32">
        <f>VLOOKUP("Waste_Recycle", DB_Master!$A:$B, 2, 0)</f>
        <v/>
      </c>
      <c r="C28" s="32" t="inlineStr">
        <is>
          <t>kgCO2e/kg</t>
        </is>
      </c>
    </row>
    <row r="29" ht="15" customHeight="1" s="33">
      <c r="A29" s="32" t="inlineStr">
        <is>
          <t>Incineration factor (auto, from DB_Master)</t>
        </is>
      </c>
      <c r="B29" s="32">
        <f>VLOOKUP("Waste_Incineration", DB_Master!$A:$B, 2, 0)</f>
        <v/>
      </c>
      <c r="C29" s="32" t="inlineStr">
        <is>
          <t>kgCO2e/kg</t>
        </is>
      </c>
    </row>
    <row r="30" ht="15" customHeight="1" s="33">
      <c r="A30" s="103" t="inlineStr">
        <is>
          <t>RESULT: Category 12 (tCO2e)</t>
        </is>
      </c>
      <c r="B30" s="32">
        <f>(B21*B22*(B23*B27+B24*B28+B25*B29))/1000</f>
        <v/>
      </c>
    </row>
    <row r="32" ht="15" customHeight="1" s="33">
      <c r="A32" s="54" t="inlineStr">
        <is>
          <t>Category 13: Downstream Leased Assets</t>
        </is>
      </c>
    </row>
    <row r="33" ht="15" customHeight="1" s="33">
      <c r="A33" s="62" t="inlineStr">
        <is>
          <t>Input</t>
        </is>
      </c>
      <c r="B33" s="62" t="inlineStr">
        <is>
          <t>Value</t>
        </is>
      </c>
      <c r="C33" s="62" t="inlineStr">
        <is>
          <t>Unit</t>
        </is>
      </c>
    </row>
    <row r="34" ht="15" customHeight="1" s="33">
      <c r="A34" s="32" t="inlineStr">
        <is>
          <t>Energy use of assets leased OUT to others (not already in Scope 1/2)</t>
        </is>
      </c>
      <c r="B34" s="102" t="n">
        <v>0</v>
      </c>
      <c r="C34" s="32" t="inlineStr">
        <is>
          <t>kWh</t>
        </is>
      </c>
    </row>
    <row r="35" ht="15" customHeight="1" s="33">
      <c r="A35" s="32" t="inlineStr">
        <is>
          <t>Grid emission factor (auto, from DB_Master)</t>
        </is>
      </c>
      <c r="B35" s="32">
        <f>VLOOKUP("Grid_India_CEA", DB_Master!$A:$B, 2, 0)</f>
        <v/>
      </c>
      <c r="C35" s="32" t="inlineStr">
        <is>
          <t>kgCO2e/kWh</t>
        </is>
      </c>
    </row>
    <row r="36" ht="15" customHeight="1" s="33">
      <c r="A36" s="103" t="inlineStr">
        <is>
          <t>RESULT: Category 13 (tCO2e)</t>
        </is>
      </c>
      <c r="B36" s="32">
        <f>(B34*B35)/1000</f>
        <v/>
      </c>
    </row>
    <row r="38" ht="15" customHeight="1" s="33">
      <c r="A38" s="54" t="inlineStr">
        <is>
          <t>Category 14: Franchises</t>
        </is>
      </c>
    </row>
    <row r="39" ht="15" customHeight="1" s="33">
      <c r="A39" s="62" t="inlineStr">
        <is>
          <t>Input</t>
        </is>
      </c>
      <c r="B39" s="62" t="inlineStr">
        <is>
          <t>Value</t>
        </is>
      </c>
      <c r="C39" s="62" t="inlineStr">
        <is>
          <t>Unit</t>
        </is>
      </c>
    </row>
    <row r="40" ht="15" customHeight="1" s="33">
      <c r="A40" s="32" t="inlineStr">
        <is>
          <t>Number of franchises</t>
        </is>
      </c>
      <c r="B40" s="102" t="n">
        <v>0</v>
      </c>
      <c r="C40" s="32" t="inlineStr">
        <is>
          <t>Franchises</t>
        </is>
      </c>
    </row>
    <row r="41" ht="15" customHeight="1" s="33">
      <c r="A41" s="32" t="inlineStr">
        <is>
          <t>Average emissions per franchise (company-reported or estimated)</t>
        </is>
      </c>
      <c r="B41" s="102" t="n">
        <v>0</v>
      </c>
      <c r="C41" s="32" t="inlineStr">
        <is>
          <t>tCO2e/franchise</t>
        </is>
      </c>
    </row>
    <row r="42" ht="15" customHeight="1" s="33">
      <c r="A42" s="103" t="inlineStr">
        <is>
          <t>RESULT: Category 14 (tCO2e)</t>
        </is>
      </c>
      <c r="B42" s="32">
        <f>B40*B41</f>
        <v/>
      </c>
    </row>
    <row r="44" ht="15" customHeight="1" s="33">
      <c r="A44" s="54" t="inlineStr">
        <is>
          <t>Category 15: Investments</t>
        </is>
      </c>
    </row>
    <row r="45" ht="36.75" customHeight="1" s="33">
      <c r="A45" s="62" t="inlineStr">
        <is>
          <t>Investee</t>
        </is>
      </c>
      <c r="B45" s="62" t="inlineStr">
        <is>
          <t>Investee Emissions (tCO2e)</t>
        </is>
      </c>
      <c r="C45" s="62" t="inlineStr">
        <is>
          <t>Equity Share (0-1)</t>
        </is>
      </c>
      <c r="D45" s="62" t="inlineStr">
        <is>
          <t>Attributed Emissions (tCO2e)</t>
        </is>
      </c>
    </row>
    <row r="46" ht="15" customHeight="1" s="33">
      <c r="A46" s="32" t="inlineStr">
        <is>
          <t>Investee 1</t>
        </is>
      </c>
      <c r="B46" s="102" t="n">
        <v>0</v>
      </c>
      <c r="C46" s="102" t="n">
        <v>0</v>
      </c>
      <c r="D46" s="32">
        <f>B46*C46</f>
        <v/>
      </c>
    </row>
    <row r="47" ht="15" customHeight="1" s="33">
      <c r="A47" s="32" t="inlineStr">
        <is>
          <t>Investee 2</t>
        </is>
      </c>
      <c r="B47" s="102" t="n">
        <v>0</v>
      </c>
      <c r="C47" s="102" t="n">
        <v>0</v>
      </c>
      <c r="D47" s="32">
        <f>B47*C47</f>
        <v/>
      </c>
    </row>
    <row r="48" ht="15" customHeight="1" s="33">
      <c r="A48" s="32" t="inlineStr">
        <is>
          <t>Investee 3</t>
        </is>
      </c>
      <c r="B48" s="102" t="n">
        <v>0</v>
      </c>
      <c r="C48" s="102" t="n">
        <v>0</v>
      </c>
      <c r="D48" s="32">
        <f>B48*C48</f>
        <v/>
      </c>
    </row>
    <row r="49" ht="15" customHeight="1" s="33">
      <c r="A49" s="32" t="inlineStr">
        <is>
          <t>Investee 4</t>
        </is>
      </c>
      <c r="B49" s="102" t="n">
        <v>0</v>
      </c>
      <c r="C49" s="102" t="n">
        <v>0</v>
      </c>
      <c r="D49" s="32">
        <f>B49*C49</f>
        <v/>
      </c>
    </row>
    <row r="50" ht="15" customHeight="1" s="33">
      <c r="A50" s="32" t="inlineStr">
        <is>
          <t>Investee 5</t>
        </is>
      </c>
      <c r="B50" s="102" t="n">
        <v>0</v>
      </c>
      <c r="C50" s="102" t="n">
        <v>0</v>
      </c>
      <c r="D50" s="32">
        <f>B50*C50</f>
        <v/>
      </c>
    </row>
    <row r="51" ht="15" customHeight="1" s="33">
      <c r="A51" s="103" t="inlineStr">
        <is>
          <t>Investee 6</t>
        </is>
      </c>
      <c r="B51" s="32" t="n">
        <v>0</v>
      </c>
      <c r="C51" s="32" t="n">
        <v>0</v>
      </c>
      <c r="D51" s="104">
        <f>B51*C51</f>
        <v/>
      </c>
    </row>
    <row r="52">
      <c r="A52" s="32" t="inlineStr">
        <is>
          <t>Investee 7</t>
        </is>
      </c>
      <c r="B52" s="32" t="n">
        <v>0</v>
      </c>
      <c r="C52" s="32" t="n">
        <v>0</v>
      </c>
      <c r="D52" s="104">
        <f>B52*C52</f>
        <v/>
      </c>
    </row>
    <row r="53" ht="15" customHeight="1" s="33">
      <c r="A53" s="105" t="inlineStr">
        <is>
          <t>Investee 8</t>
        </is>
      </c>
      <c r="B53" s="69" t="n">
        <v>0</v>
      </c>
      <c r="C53" s="69" t="n">
        <v>0</v>
      </c>
      <c r="D53" s="106">
        <f>B53*C53</f>
        <v/>
      </c>
    </row>
    <row r="54">
      <c r="A54" s="32" t="inlineStr">
        <is>
          <t>Investee 9</t>
        </is>
      </c>
      <c r="B54" s="32" t="n">
        <v>0</v>
      </c>
      <c r="C54" s="32" t="n">
        <v>0</v>
      </c>
      <c r="D54" s="104">
        <f>B54*C54</f>
        <v/>
      </c>
    </row>
    <row r="55">
      <c r="A55" s="32" t="inlineStr">
        <is>
          <t>Investee 10</t>
        </is>
      </c>
      <c r="B55" s="32" t="n">
        <v>0</v>
      </c>
      <c r="C55" s="32" t="n">
        <v>0</v>
      </c>
      <c r="D55" s="104">
        <f>B55*C55</f>
        <v/>
      </c>
    </row>
    <row r="57">
      <c r="A57" s="107" t="inlineStr">
        <is>
          <t>DATA QUALITY — Pedigree Scores for Hard Categories</t>
        </is>
      </c>
      <c r="B57" s="44" t="n"/>
      <c r="C57" s="44" t="n"/>
      <c r="D57" s="45" t="n"/>
    </row>
    <row r="58">
      <c r="A58" s="46" t="inlineStr">
        <is>
          <t>Fill in scores 1–5 for each category below. These feed into the Data_Quality_Scoring tab hard-category block and the Dashboard confidence band.</t>
        </is>
      </c>
      <c r="B58" s="44" t="n"/>
      <c r="C58" s="44" t="n"/>
      <c r="D58" s="45" t="n"/>
    </row>
    <row r="59">
      <c r="A59" s="72" t="inlineStr">
        <is>
          <t>Category</t>
        </is>
      </c>
      <c r="B59" s="72" t="inlineStr">
        <is>
          <t>Reliability (1–5)</t>
        </is>
      </c>
      <c r="C59" s="72" t="inlineStr">
        <is>
          <t>Temporal (1–5)</t>
        </is>
      </c>
      <c r="D59" s="72" t="inlineStr">
        <is>
          <t>Composite DQR</t>
        </is>
      </c>
    </row>
    <row r="60">
      <c r="A60" s="93" t="inlineStr">
        <is>
          <t>Category 10: Processing of Sold Products</t>
        </is>
      </c>
      <c r="B60" s="95" t="inlineStr"/>
      <c r="C60" s="95" t="inlineStr"/>
      <c r="D60" s="96">
        <f>IFERROR(AVERAGE(B60:C60),"")</f>
        <v/>
      </c>
    </row>
    <row r="61">
      <c r="A61" s="93" t="inlineStr">
        <is>
          <t>Category 11: Use of Sold Products</t>
        </is>
      </c>
      <c r="B61" s="95" t="inlineStr"/>
      <c r="C61" s="95" t="inlineStr"/>
      <c r="D61" s="96">
        <f>IFERROR(AVERAGE(B61:C61),"")</f>
        <v/>
      </c>
    </row>
    <row r="62">
      <c r="A62" s="93" t="inlineStr">
        <is>
          <t>Category 12: End-of-Life Treatment</t>
        </is>
      </c>
      <c r="B62" s="95" t="inlineStr"/>
      <c r="C62" s="95" t="inlineStr"/>
      <c r="D62" s="96">
        <f>IFERROR(AVERAGE(B62:C62),"")</f>
        <v/>
      </c>
    </row>
    <row r="63">
      <c r="A63" s="93" t="inlineStr">
        <is>
          <t>Category 13: Downstream Leased Assets</t>
        </is>
      </c>
      <c r="B63" s="95" t="inlineStr"/>
      <c r="C63" s="95" t="inlineStr"/>
      <c r="D63" s="96">
        <f>IFERROR(AVERAGE(B63:C63),"")</f>
        <v/>
      </c>
    </row>
    <row r="64">
      <c r="A64" s="93" t="inlineStr">
        <is>
          <t>Category 14: Franchises</t>
        </is>
      </c>
      <c r="B64" s="95" t="inlineStr"/>
      <c r="C64" s="95" t="inlineStr"/>
      <c r="D64" s="96">
        <f>IFERROR(AVERAGE(B64:C64),"")</f>
        <v/>
      </c>
    </row>
    <row r="65">
      <c r="A65" s="93" t="inlineStr">
        <is>
          <t>Category 15: Investments</t>
        </is>
      </c>
      <c r="B65" s="95" t="inlineStr"/>
      <c r="C65" s="95" t="inlineStr"/>
      <c r="D65" s="96">
        <f>IFERROR(AVERAGE(B65:C65),"")</f>
        <v/>
      </c>
    </row>
  </sheetData>
  <mergeCells count="10">
    <mergeCell ref="A38:F38"/>
    <mergeCell ref="A2:F2"/>
    <mergeCell ref="A11:F11"/>
    <mergeCell ref="A58:D58"/>
    <mergeCell ref="A19:F19"/>
    <mergeCell ref="A44:F44"/>
    <mergeCell ref="A1:F1"/>
    <mergeCell ref="A32:F32"/>
    <mergeCell ref="A57:D57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3">
      <c r="A1" s="32" t="inlineStr">
        <is>
          <t>Bucket</t>
        </is>
      </c>
      <c r="B1" s="32" t="inlineStr">
        <is>
          <t>tCO2e</t>
        </is>
      </c>
    </row>
    <row r="2" ht="15" customHeight="1" s="33">
      <c r="A2" s="32" t="inlineStr">
        <is>
          <t>Scope 1</t>
        </is>
      </c>
      <c r="B2" s="32">
        <f>Dashboard!B4</f>
        <v/>
      </c>
    </row>
    <row r="3" ht="15" customHeight="1" s="33">
      <c r="A3" s="32" t="inlineStr">
        <is>
          <t>Scope 2 (Location-Based)</t>
        </is>
      </c>
      <c r="B3" s="32">
        <f>Dashboard!B5</f>
        <v/>
      </c>
    </row>
    <row r="4" ht="15" customHeight="1" s="33">
      <c r="A4" s="32" t="inlineStr">
        <is>
          <t>Scope 3 Cat 1-9</t>
        </is>
      </c>
      <c r="B4" s="32">
        <f>Dashboard!B7</f>
        <v/>
      </c>
    </row>
    <row r="5" ht="15" customHeight="1" s="33">
      <c r="A5" s="32" t="inlineStr">
        <is>
          <t>Scope 3 Cat 10-15</t>
        </is>
      </c>
      <c r="B5" s="32">
        <f>Dashboard!B8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NetZeroCalc / Arunachalam Venkatachalapathy</dc:creator>
  <dc:title>GHG Calculator v8 — NetZeroCalc</dc:title>
  <dc:description>Built from GHG_Calculator_v7_RESOLVED.xlsx. Adds: Data_Quality_Scoring (ISO 14044 Pedigree Matrix), proxy-confidence cap, Dashboard DQR confidence band, Cat 15 expanded to 10 investees, DB_Master Factor Age column.</dc:description>
  <dc:subject>Corporate GHG Inventory with ISO 14044 Pedigree Matrix DQR</dc:subject>
  <dc:language>en-US</dc:language>
  <dcterms:created xsi:type="dcterms:W3CDTF">2026-08-17T01:33:29Z</dcterms:created>
  <dcterms:modified xsi:type="dcterms:W3CDTF">2026-08-17T03:12:41Z</dcterms:modified>
  <cp:revision>4</cp:revision>
  <cp:keywords>GHG, carbon, Scope 1, Scope 2, Scope 3, BRSR, CBAM, ISO 14044, Pedigree Matrix</cp:keywords>
</cp:coreProperties>
</file>