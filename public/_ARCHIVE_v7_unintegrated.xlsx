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Cover_Boundary" sheetId="2" state="visible" r:id="rId2"/>
    <sheet name="DB_Master" sheetId="3" state="visible" r:id="rId3"/>
    <sheet name="GHG_Calculator" sheetId="4" state="visible" r:id="rId4"/>
    <sheet name="Materiality_Screening" sheetId="5" state="visible" r:id="rId5"/>
    <sheet name="Scope3_Hard_Categories" sheetId="6" state="visible" r:id="rId6"/>
    <sheet name="_chart_data" sheetId="7" state="hidden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.5"/>
    </font>
    <font>
      <name val="Arial"/>
      <charset val="1"/>
      <family val="0"/>
      <b val="1"/>
      <color rgb="FF1F4E3D"/>
      <sz val="2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1F4E3D"/>
      <sz val="14"/>
    </font>
    <font>
      <name val="Arial"/>
      <charset val="1"/>
      <family val="0"/>
      <b val="1"/>
      <color rgb="FFC0392B"/>
      <sz val="12"/>
    </font>
    <font>
      <name val="Arial"/>
      <charset val="1"/>
      <family val="0"/>
      <b val="1"/>
      <sz val="9"/>
    </font>
    <font>
      <name val="Arial"/>
      <charset val="1"/>
      <family val="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i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C0392B"/>
      <sz val="9"/>
    </font>
    <font>
      <name val="Arial"/>
      <charset val="1"/>
      <family val="0"/>
      <b val="1"/>
      <sz val="11"/>
    </font>
    <font>
      <name val="Arial"/>
      <sz val="10"/>
    </font>
    <font>
      <name val="Arial"/>
      <b val="1"/>
      <i val="1"/>
      <color rgb="001F4E3D"/>
      <sz val="10"/>
    </font>
  </fonts>
  <fills count="8">
    <fill>
      <patternFill/>
    </fill>
    <fill>
      <patternFill patternType="gray125"/>
    </fill>
    <fill>
      <patternFill patternType="solid">
        <fgColor rgb="FFDCE9E4"/>
        <bgColor rgb="FFD9D9D9"/>
      </patternFill>
    </fill>
    <fill>
      <patternFill patternType="solid">
        <fgColor rgb="FF1F4E3D"/>
        <bgColor rgb="FF003366"/>
      </patternFill>
    </fill>
    <fill>
      <patternFill patternType="solid">
        <fgColor rgb="FFEAF7EE"/>
        <bgColor rgb="FFFDEDEC"/>
      </patternFill>
    </fill>
    <fill>
      <patternFill patternType="solid">
        <fgColor rgb="FFFDEDEC"/>
        <bgColor rgb="FFFFF9DB"/>
      </patternFill>
    </fill>
    <fill>
      <patternFill patternType="solid">
        <fgColor rgb="FFFFF9DB"/>
        <bgColor rgb="FFFDEDEC"/>
      </patternFill>
    </fill>
    <fill>
      <patternFill patternType="solid">
        <fgColor rgb="00DCE9E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17" fillId="3" borderId="0" applyAlignment="1" pivotButton="0" quotePrefix="0" xfId="0">
      <alignment horizontal="general" vertical="center" wrapText="1"/>
    </xf>
    <xf numFmtId="0" fontId="6" fillId="2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19" fillId="6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9" fillId="6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23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general" vertical="top" wrapText="1"/>
    </xf>
    <xf numFmtId="0" fontId="19" fillId="6" borderId="1" applyAlignment="1" pivotButton="0" quotePrefix="0" xfId="0">
      <alignment horizontal="general" vertical="top" wrapText="1"/>
    </xf>
    <xf numFmtId="0" fontId="19" fillId="6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9DB"/>
      <rgbColor rgb="FFEAF7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4"/>
      <rgbColor rgb="FFFDEDE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4E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Emissions by Bucket (tCO2e)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_chart_data!B1</f>
              <strCache>
                <ptCount val="1"/>
                <pt idx="0">
                  <v>tCO2e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_chart_data!$A$2:$A$5</f>
              <strCache>
                <ptCount val="4"/>
                <pt idx="0">
                  <v>Scope 1</v>
                </pt>
                <pt idx="1">
                  <v>Scope 2 (Location-Based)</v>
                </pt>
                <pt idx="2">
                  <v>Scope 3 Cat 1-9</v>
                </pt>
                <pt idx="3">
                  <v>Scope 3 Cat 10-15</v>
                </pt>
              </strCache>
            </strRef>
          </cat>
          <val>
            <numRef>
              <f>_chart_data!$B$2:$B$5</f>
              <numCache>
                <formatCode>General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gapWidth val="150"/>
        <overlap val="0"/>
        <axId val="79222967"/>
        <axId val="60961283"/>
      </barChart>
      <catAx>
        <axId val="79222967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Bucket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0961283"/>
        <crosses val="autoZero"/>
        <auto val="1"/>
        <lblAlgn val="ctr"/>
        <lblOffset val="100"/>
        <noMultiLvlLbl val="0"/>
      </catAx>
      <valAx>
        <axId val="6096128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tCO2e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922296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2</row>
      <rowOff>131040</rowOff>
    </from>
    <to>
      <col>9</col>
      <colOff>586440</colOff>
      <row>16</row>
      <rowOff>42840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2" min="1" max="1"/>
    <col width="20" customWidth="1" style="32" min="2" max="2"/>
    <col width="30" customWidth="1" style="32" min="3" max="4"/>
  </cols>
  <sheetData>
    <row r="1" ht="19.5" customHeight="1" s="33">
      <c r="A1" s="34" t="inlineStr">
        <is>
          <t>GHG Inventory Dashboard</t>
        </is>
      </c>
    </row>
    <row r="2" ht="15" customHeight="1" s="33">
      <c r="A2" s="35" t="inlineStr">
        <is>
          <t>All totals below are formula-driven and only include Scope 3 categories marked 'Included' in Materiality_Screening.</t>
        </is>
      </c>
    </row>
    <row r="4" ht="24" customHeight="1" s="33">
      <c r="A4" s="36" t="inlineStr">
        <is>
          <t>Scope 1 (tCO2e)</t>
        </is>
      </c>
      <c r="B4" s="37">
        <f>GHG_Calculator!F22</f>
        <v/>
      </c>
    </row>
    <row r="5" ht="24" customHeight="1" s="33">
      <c r="A5" s="36" t="inlineStr">
        <is>
          <t>Scope 2 - Location-Based (tCO2e)</t>
        </is>
      </c>
      <c r="B5" s="37">
        <f>GHG_Calculator!F32</f>
        <v/>
      </c>
    </row>
    <row r="6" ht="24" customHeight="1" s="33">
      <c r="A6" s="36" t="inlineStr">
        <is>
          <t>Scope 2 - Market-Based (tCO2e)</t>
        </is>
      </c>
      <c r="B6" s="37">
        <f>GHG_Calculator!F39</f>
        <v/>
      </c>
    </row>
    <row r="7" ht="24" customHeight="1" s="33">
      <c r="A7" s="36" t="inlineStr">
        <is>
          <t>Scope 3, Categories 1-9 (tCO2e, materiality-filtered)</t>
        </is>
      </c>
      <c r="B7" s="37">
        <f>SUM(GHG_Calculator!F42:F92)</f>
        <v/>
      </c>
    </row>
    <row r="8" ht="24" customHeight="1" s="33">
      <c r="A8" s="36" t="inlineStr">
        <is>
          <t>Scope 3, Categories 10-15 (tCO2e)</t>
        </is>
      </c>
      <c r="B8" s="37">
        <f>Scope3_Hard_Categories!B53</f>
        <v/>
      </c>
    </row>
    <row r="10" ht="17.25" customHeight="1" s="33">
      <c r="A10" s="38" t="inlineStr">
        <is>
          <t>GRAND TOTAL - Location-Based Scope 2 (tCO2e)</t>
        </is>
      </c>
      <c r="B10" s="39">
        <f>B4+B5+B7+B8</f>
        <v/>
      </c>
    </row>
    <row r="11" ht="17.25" customHeight="1" s="33">
      <c r="A11" s="38" t="inlineStr">
        <is>
          <t>GRAND TOTAL - Market-Based Scope 2 (tCO2e)</t>
        </is>
      </c>
      <c r="B11" s="39">
        <f>B4+B6+B7+B8</f>
        <v/>
      </c>
    </row>
    <row r="13" ht="15" customHeight="1" s="33">
      <c r="A13" s="36" t="inlineStr">
        <is>
          <t>Rows still flagged (unassessed quantity or zero factor)</t>
        </is>
      </c>
    </row>
    <row r="14" ht="15" customHeight="1" s="33">
      <c r="A14" s="40">
        <f>COUNTIF(GHG_Calculator!G2:G92,"?*")</f>
        <v/>
      </c>
      <c r="B14" s="35">
        <f>"Open the GHG_Calculator tab -&gt; Flag column to see which rows"</f>
        <v/>
      </c>
    </row>
    <row r="16" ht="15" customHeight="1" s="33">
      <c r="A16" s="36" t="inlineStr">
        <is>
          <t>Excluded / Not Applicable Scope 3 categories (with reason)</t>
        </is>
      </c>
    </row>
    <row r="17" ht="15" customHeight="1" s="33">
      <c r="A17" s="41" t="inlineStr">
        <is>
          <t>Category</t>
        </is>
      </c>
      <c r="B17" s="41" t="inlineStr">
        <is>
          <t>Decision</t>
        </is>
      </c>
      <c r="C17" s="41" t="inlineStr">
        <is>
          <t>Justification</t>
        </is>
      </c>
    </row>
    <row r="18" ht="15" customHeight="1" s="33">
      <c r="A18" s="42">
        <f>IF(Materiality_Screening!D2&lt;&gt;"Included",Materiality_Screening!B2,"")</f>
        <v/>
      </c>
      <c r="B18" s="42">
        <f>IF(Materiality_Screening!D2&lt;&gt;"Included",Materiality_Screening!D2,"")</f>
        <v/>
      </c>
      <c r="C18" s="42">
        <f>IF(Materiality_Screening!D2&lt;&gt;"Included",Materiality_Screening!E2,"")</f>
        <v/>
      </c>
    </row>
    <row r="19" ht="15" customHeight="1" s="33">
      <c r="A19" s="42">
        <f>IF(Materiality_Screening!D3&lt;&gt;"Included",Materiality_Screening!B3,"")</f>
        <v/>
      </c>
      <c r="B19" s="42">
        <f>IF(Materiality_Screening!D3&lt;&gt;"Included",Materiality_Screening!D3,"")</f>
        <v/>
      </c>
      <c r="C19" s="42">
        <f>IF(Materiality_Screening!D3&lt;&gt;"Included",Materiality_Screening!E3,"")</f>
        <v/>
      </c>
    </row>
    <row r="20" ht="15" customHeight="1" s="33">
      <c r="A20" s="42">
        <f>IF(Materiality_Screening!D4&lt;&gt;"Included",Materiality_Screening!B4,"")</f>
        <v/>
      </c>
      <c r="B20" s="42">
        <f>IF(Materiality_Screening!D4&lt;&gt;"Included",Materiality_Screening!D4,"")</f>
        <v/>
      </c>
      <c r="C20" s="42">
        <f>IF(Materiality_Screening!D4&lt;&gt;"Included",Materiality_Screening!E4,"")</f>
        <v/>
      </c>
    </row>
    <row r="21" ht="15" customHeight="1" s="33">
      <c r="A21" s="42">
        <f>IF(Materiality_Screening!D5&lt;&gt;"Included",Materiality_Screening!B5,"")</f>
        <v/>
      </c>
      <c r="B21" s="42">
        <f>IF(Materiality_Screening!D5&lt;&gt;"Included",Materiality_Screening!D5,"")</f>
        <v/>
      </c>
      <c r="C21" s="42">
        <f>IF(Materiality_Screening!D5&lt;&gt;"Included",Materiality_Screening!E5,"")</f>
        <v/>
      </c>
    </row>
    <row r="22" ht="15" customHeight="1" s="33">
      <c r="A22" s="42">
        <f>IF(Materiality_Screening!D6&lt;&gt;"Included",Materiality_Screening!B6,"")</f>
        <v/>
      </c>
      <c r="B22" s="42">
        <f>IF(Materiality_Screening!D6&lt;&gt;"Included",Materiality_Screening!D6,"")</f>
        <v/>
      </c>
      <c r="C22" s="42">
        <f>IF(Materiality_Screening!D6&lt;&gt;"Included",Materiality_Screening!E6,"")</f>
        <v/>
      </c>
    </row>
    <row r="23" ht="15" customHeight="1" s="33">
      <c r="A23" s="42">
        <f>IF(Materiality_Screening!D7&lt;&gt;"Included",Materiality_Screening!B7,"")</f>
        <v/>
      </c>
      <c r="B23" s="42">
        <f>IF(Materiality_Screening!D7&lt;&gt;"Included",Materiality_Screening!D7,"")</f>
        <v/>
      </c>
      <c r="C23" s="42">
        <f>IF(Materiality_Screening!D7&lt;&gt;"Included",Materiality_Screening!E7,"")</f>
        <v/>
      </c>
    </row>
    <row r="24" ht="15" customHeight="1" s="33">
      <c r="A24" s="42">
        <f>IF(Materiality_Screening!D8&lt;&gt;"Included",Materiality_Screening!B8,"")</f>
        <v/>
      </c>
      <c r="B24" s="42">
        <f>IF(Materiality_Screening!D8&lt;&gt;"Included",Materiality_Screening!D8,"")</f>
        <v/>
      </c>
      <c r="C24" s="42">
        <f>IF(Materiality_Screening!D8&lt;&gt;"Included",Materiality_Screening!E8,"")</f>
        <v/>
      </c>
    </row>
    <row r="25" ht="15" customHeight="1" s="33">
      <c r="A25" s="42">
        <f>IF(Materiality_Screening!D9&lt;&gt;"Included",Materiality_Screening!B9,"")</f>
        <v/>
      </c>
      <c r="B25" s="42">
        <f>IF(Materiality_Screening!D9&lt;&gt;"Included",Materiality_Screening!D9,"")</f>
        <v/>
      </c>
      <c r="C25" s="42">
        <f>IF(Materiality_Screening!D9&lt;&gt;"Included",Materiality_Screening!E9,"")</f>
        <v/>
      </c>
    </row>
    <row r="26" ht="15" customHeight="1" s="33">
      <c r="A26" s="42">
        <f>IF(Materiality_Screening!D10&lt;&gt;"Included",Materiality_Screening!B10,"")</f>
        <v/>
      </c>
      <c r="B26" s="42">
        <f>IF(Materiality_Screening!D10&lt;&gt;"Included",Materiality_Screening!D10,"")</f>
        <v/>
      </c>
      <c r="C26" s="42">
        <f>IF(Materiality_Screening!D10&lt;&gt;"Included",Materiality_Screening!E10,"")</f>
        <v/>
      </c>
    </row>
    <row r="27" ht="15" customHeight="1" s="33">
      <c r="A27" s="42">
        <f>IF(Materiality_Screening!D11&lt;&gt;"Included",Materiality_Screening!B11,"")</f>
        <v/>
      </c>
      <c r="B27" s="42">
        <f>IF(Materiality_Screening!D11&lt;&gt;"Included",Materiality_Screening!D11,"")</f>
        <v/>
      </c>
      <c r="C27" s="42">
        <f>IF(Materiality_Screening!D11&lt;&gt;"Included",Materiality_Screening!E11,"")</f>
        <v/>
      </c>
    </row>
    <row r="28" ht="15" customHeight="1" s="33">
      <c r="A28" s="42">
        <f>IF(Materiality_Screening!D12&lt;&gt;"Included",Materiality_Screening!B12,"")</f>
        <v/>
      </c>
      <c r="B28" s="42">
        <f>IF(Materiality_Screening!D12&lt;&gt;"Included",Materiality_Screening!D12,"")</f>
        <v/>
      </c>
      <c r="C28" s="42">
        <f>IF(Materiality_Screening!D12&lt;&gt;"Included",Materiality_Screening!E12,"")</f>
        <v/>
      </c>
    </row>
    <row r="29" ht="15" customHeight="1" s="33">
      <c r="A29" s="42">
        <f>IF(Materiality_Screening!D13&lt;&gt;"Included",Materiality_Screening!B13,"")</f>
        <v/>
      </c>
      <c r="B29" s="42">
        <f>IF(Materiality_Screening!D13&lt;&gt;"Included",Materiality_Screening!D13,"")</f>
        <v/>
      </c>
      <c r="C29" s="42">
        <f>IF(Materiality_Screening!D13&lt;&gt;"Included",Materiality_Screening!E13,"")</f>
        <v/>
      </c>
    </row>
    <row r="30" ht="15" customHeight="1" s="33">
      <c r="A30" s="42">
        <f>IF(Materiality_Screening!D14&lt;&gt;"Included",Materiality_Screening!B14,"")</f>
        <v/>
      </c>
      <c r="B30" s="42">
        <f>IF(Materiality_Screening!D14&lt;&gt;"Included",Materiality_Screening!D14,"")</f>
        <v/>
      </c>
      <c r="C30" s="42">
        <f>IF(Materiality_Screening!D14&lt;&gt;"Included",Materiality_Screening!E14,"")</f>
        <v/>
      </c>
    </row>
    <row r="31" ht="15" customHeight="1" s="33">
      <c r="A31" s="42">
        <f>IF(Materiality_Screening!D15&lt;&gt;"Included",Materiality_Screening!B15,"")</f>
        <v/>
      </c>
      <c r="B31" s="42">
        <f>IF(Materiality_Screening!D15&lt;&gt;"Included",Materiality_Screening!D15,"")</f>
        <v/>
      </c>
      <c r="C31" s="42">
        <f>IF(Materiality_Screening!D15&lt;&gt;"Included",Materiality_Screening!E15,"")</f>
        <v/>
      </c>
    </row>
    <row r="32" ht="15" customHeight="1" s="33">
      <c r="A32" s="42">
        <f>IF(Materiality_Screening!D16&lt;&gt;"Included",Materiality_Screening!B16,"")</f>
        <v/>
      </c>
      <c r="B32" s="42">
        <f>IF(Materiality_Screening!D16&lt;&gt;"Included",Materiality_Screening!D16,"")</f>
        <v/>
      </c>
      <c r="C32" s="42">
        <f>IF(Materiality_Screening!D16&lt;&gt;"Included",Materiality_Screening!E16,"")</f>
        <v/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2" min="1" max="1"/>
    <col width="30" customWidth="1" style="32" min="2" max="2"/>
    <col width="22" customWidth="1" style="32" min="3" max="3"/>
    <col width="55" customWidth="1" style="32" min="4" max="4"/>
  </cols>
  <sheetData>
    <row r="1" ht="15.75" customHeight="1" s="33">
      <c r="A1" s="43" t="inlineStr">
        <is>
          <t>GHG Emissions Inventory - Boundary &amp; Reporting Basis</t>
        </is>
      </c>
      <c r="B1" s="42" t="n"/>
      <c r="C1" s="42" t="n"/>
      <c r="D1" s="42" t="n"/>
    </row>
    <row r="2" ht="15" customHeight="1" s="33">
      <c r="A2" s="42" t="n"/>
      <c r="B2" s="42" t="n"/>
      <c r="C2" s="42" t="n"/>
      <c r="D2" s="42" t="n"/>
    </row>
    <row r="3" ht="15" customHeight="1" s="33">
      <c r="A3" s="42" t="inlineStr">
        <is>
          <t>1. Reporting Entity</t>
        </is>
      </c>
      <c r="B3" s="42" t="n"/>
      <c r="C3" s="42" t="n"/>
      <c r="D3" s="42" t="n"/>
    </row>
    <row r="4" ht="15" customHeight="1" s="33">
      <c r="A4" s="42" t="inlineStr">
        <is>
          <t>Company / Facility Name</t>
        </is>
      </c>
      <c r="B4" s="42" t="n"/>
      <c r="C4" s="42" t="n"/>
      <c r="D4" s="42" t="inlineStr">
        <is>
          <t>Legal entity or facility this inventory covers</t>
        </is>
      </c>
    </row>
    <row r="5" ht="15" customHeight="1" s="33">
      <c r="A5" s="42" t="inlineStr">
        <is>
          <t>Reporting Period</t>
        </is>
      </c>
      <c r="B5" s="42" t="n"/>
      <c r="C5" s="42" t="n"/>
      <c r="D5" s="42" t="inlineStr">
        <is>
          <t>e.g. 1 Apr 2025 - 31 Mar 2026</t>
        </is>
      </c>
    </row>
    <row r="6" ht="15" customHeight="1" s="33">
      <c r="A6" s="42" t="inlineStr">
        <is>
          <t>Base Year</t>
        </is>
      </c>
      <c r="B6" s="42" t="n"/>
      <c r="C6" s="42" t="n"/>
      <c r="D6" s="42" t="inlineStr">
        <is>
          <t>REQUIRED for tracking reductions over time - GHG Protocol mandates a fixed base year</t>
        </is>
      </c>
    </row>
    <row r="7" ht="15" customHeight="1" s="33">
      <c r="A7" s="42" t="inlineStr">
        <is>
          <t>Prepared By / Contact</t>
        </is>
      </c>
      <c r="B7" s="42" t="n"/>
      <c r="C7" s="42" t="n"/>
      <c r="D7" s="42" t="n"/>
    </row>
    <row r="8" ht="15" customHeight="1" s="33">
      <c r="A8" s="42" t="inlineStr">
        <is>
          <t>Date of Preparation</t>
        </is>
      </c>
      <c r="B8" s="42" t="n"/>
      <c r="C8" s="42" t="n"/>
      <c r="D8" s="42" t="n"/>
    </row>
    <row r="9" ht="15" customHeight="1" s="33">
      <c r="A9" s="42" t="n"/>
      <c r="B9" s="42" t="n"/>
      <c r="C9" s="42" t="n"/>
      <c r="D9" s="42" t="n"/>
    </row>
    <row r="10" ht="15" customHeight="1" s="33">
      <c r="A10" s="42" t="inlineStr">
        <is>
          <t>2. Organizational Boundary (choose ONE consolidation approach)</t>
        </is>
      </c>
      <c r="B10" s="42" t="n"/>
      <c r="C10" s="42" t="n"/>
      <c r="D10" s="42" t="n"/>
    </row>
    <row r="11" ht="15" customHeight="1" s="33">
      <c r="A11" s="42" t="inlineStr">
        <is>
          <t>Consolidation Approach</t>
        </is>
      </c>
      <c r="B11" s="42" t="inlineStr">
        <is>
          <t>Select one</t>
        </is>
      </c>
      <c r="C11" s="42" t="n"/>
      <c r="D11" s="42" t="inlineStr">
        <is>
          <t>Determines which facilities/entities are consolidated into this inventory - see GHG Protocol Corporate Standard Ch.3</t>
        </is>
      </c>
    </row>
    <row r="12" ht="15" customHeight="1" s="33">
      <c r="A12" s="42" t="inlineStr">
        <is>
          <t>Entities/Facilities Included</t>
        </is>
      </c>
      <c r="B12" s="42" t="n"/>
      <c r="C12" s="42" t="n"/>
      <c r="D12" s="42" t="inlineStr">
        <is>
          <t>List every facility or subsidiary consolidated under the chosen approach</t>
        </is>
      </c>
    </row>
    <row r="13" ht="15" customHeight="1" s="33">
      <c r="A13" s="42" t="inlineStr">
        <is>
          <t>Entities/Facilities Explicitly Excluded</t>
        </is>
      </c>
      <c r="B13" s="42" t="n"/>
      <c r="C13" s="42" t="n"/>
      <c r="D13" s="42" t="inlineStr">
        <is>
          <t>Document any exclusion and the reason (e.g. divested, immaterial, no operational control)</t>
        </is>
      </c>
    </row>
    <row r="14" ht="15" customHeight="1" s="33">
      <c r="A14" s="42" t="n"/>
      <c r="B14" s="42" t="n"/>
      <c r="C14" s="42" t="n"/>
      <c r="D14" s="42" t="n"/>
    </row>
    <row r="15" ht="15" customHeight="1" s="33">
      <c r="A15" s="42" t="inlineStr">
        <is>
          <t>3. Operational Boundary (which scopes are covered)</t>
        </is>
      </c>
      <c r="B15" s="42" t="n"/>
      <c r="C15" s="42" t="n"/>
      <c r="D15" s="42" t="n"/>
    </row>
    <row r="16" ht="15" customHeight="1" s="33">
      <c r="A16" s="42" t="inlineStr">
        <is>
          <t>Scope 1 (Direct Emissions)</t>
        </is>
      </c>
      <c r="B16" s="42" t="inlineStr">
        <is>
          <t>Included</t>
        </is>
      </c>
      <c r="C16" s="42" t="n"/>
      <c r="D16" s="42" t="n"/>
    </row>
    <row r="17" ht="15" customHeight="1" s="33">
      <c r="A17" s="42" t="inlineStr">
        <is>
          <t>Scope 2 (Purchased Energy)</t>
        </is>
      </c>
      <c r="B17" s="42" t="inlineStr">
        <is>
          <t>Included</t>
        </is>
      </c>
      <c r="C17" s="42" t="n"/>
      <c r="D17" s="42" t="n"/>
    </row>
    <row r="18" ht="15" customHeight="1" s="33">
      <c r="A18" s="42" t="inlineStr">
        <is>
          <t>Scope 3 (Value Chain)</t>
        </is>
      </c>
      <c r="B18" s="42" t="inlineStr">
        <is>
          <t>Included</t>
        </is>
      </c>
      <c r="C18" s="42" t="n"/>
      <c r="D18" s="42" t="n"/>
    </row>
    <row r="19" ht="15" customHeight="1" s="33">
      <c r="A19" s="42" t="inlineStr">
        <is>
          <t>Scope 3 Categories Excluded (if any)</t>
        </is>
      </c>
      <c r="B19" s="42" t="n"/>
      <c r="C19" s="42" t="n"/>
      <c r="D19" s="42" t="inlineStr">
        <is>
          <t>List category numbers 1-15 excluded and justification - see GHG_Master_Calculator tab for the full category list</t>
        </is>
      </c>
    </row>
    <row r="20" ht="15" customHeight="1" s="33">
      <c r="A20" s="42" t="n"/>
      <c r="B20" s="42" t="n"/>
      <c r="C20" s="42" t="n"/>
      <c r="D20" s="42" t="n"/>
    </row>
    <row r="21" ht="15" customHeight="1" s="33">
      <c r="A21" s="42" t="inlineStr">
        <is>
          <t>4. Methodology &amp; Standards Applied</t>
        </is>
      </c>
      <c r="B21" s="42" t="n"/>
      <c r="C21" s="42" t="n"/>
      <c r="D21" s="42" t="n"/>
    </row>
    <row r="22" ht="15" customHeight="1" s="33">
      <c r="A22" s="42" t="inlineStr">
        <is>
          <t>Primary Standard</t>
        </is>
      </c>
      <c r="B22" s="42" t="inlineStr">
        <is>
          <t>GHG Protocol Corporate Standard + Corporate Value Chain (Scope 3) Standard</t>
        </is>
      </c>
      <c r="C22" s="42" t="n"/>
      <c r="D22" s="42" t="inlineStr">
        <is>
          <t>e.g. GHG Protocol Corporate Standard + Scope 3 Standard; or ISO 14064-1</t>
        </is>
      </c>
    </row>
    <row r="23" ht="15" customHeight="1" s="33">
      <c r="A23" s="42" t="inlineStr">
        <is>
          <t>GWP Values Used</t>
        </is>
      </c>
      <c r="B23" s="42" t="inlineStr">
        <is>
          <t>IPCC AR4 (verify against your disclosure framework's required vintage)</t>
        </is>
      </c>
      <c r="C23" s="42" t="n"/>
      <c r="D23" s="42" t="inlineStr">
        <is>
          <t>Confirm IPCC Assessment Report vintage - see DB_Master notes column for per-factor citations</t>
        </is>
      </c>
    </row>
    <row r="24" ht="15" customHeight="1" s="33">
      <c r="A24" s="42" t="inlineStr">
        <is>
          <t>Scope 2 Reporting Method</t>
        </is>
      </c>
      <c r="B24" s="42" t="inlineStr">
        <is>
          <t>Dual reporting: Location-based + Market-based (see GHG_Master_Calculator)</t>
        </is>
      </c>
      <c r="C24" s="42" t="n"/>
      <c r="D24" s="42" t="inlineStr">
        <is>
          <t>GHG Protocol Scope 2 Guidance requires BOTH methods where applicable</t>
        </is>
      </c>
    </row>
    <row r="25" ht="15" customHeight="1" s="33">
      <c r="A25" s="42" t="n"/>
      <c r="B25" s="42" t="n"/>
      <c r="C25" s="42" t="n"/>
      <c r="D25" s="42" t="n"/>
    </row>
    <row r="26" ht="15" customHeight="1" s="33">
      <c r="A26" s="42" t="inlineStr">
        <is>
          <t>5. Assurance Status</t>
        </is>
      </c>
      <c r="B26" s="42" t="n"/>
      <c r="C26" s="42" t="n"/>
      <c r="D26" s="42" t="n"/>
    </row>
    <row r="27" ht="15" customHeight="1" s="33">
      <c r="A27" s="42" t="inlineStr">
        <is>
          <t>Third-Party Verification Status</t>
        </is>
      </c>
      <c r="B27" s="42" t="n"/>
      <c r="C27" s="42" t="n"/>
      <c r="D27" s="42" t="inlineStr">
        <is>
          <t>e.g. Not yet verified / Limited assurance / Reasonable assurance, and by whom</t>
        </is>
      </c>
    </row>
    <row r="28" ht="15" customHeight="1" s="33">
      <c r="A28" s="42" t="inlineStr">
        <is>
          <t>Data Quality Approach</t>
        </is>
      </c>
      <c r="B28" s="42" t="n"/>
      <c r="C28" s="42" t="n"/>
      <c r="D28" s="42" t="inlineStr">
        <is>
          <t>Every line item in GHG_Master_Calculator has a Data Quality tier - see that tab</t>
        </is>
      </c>
    </row>
    <row r="29" ht="15" customHeight="1" s="33">
      <c r="A29" s="42" t="n"/>
      <c r="B29" s="42" t="n"/>
      <c r="C29" s="42" t="n"/>
      <c r="D29" s="42" t="n"/>
    </row>
    <row r="30" ht="15" customHeight="1" s="33">
      <c r="A30" s="42" t="inlineStr">
        <is>
          <t>6. Materiality &amp; Exclusion Policy</t>
        </is>
      </c>
      <c r="B30" s="42" t="n"/>
      <c r="C30" s="42" t="n"/>
      <c r="D30" s="42" t="n"/>
    </row>
    <row r="31" ht="15" customHeight="1" s="33">
      <c r="A31" s="42" t="inlineStr">
        <is>
          <t>Materiality Threshold</t>
        </is>
      </c>
      <c r="B31" s="42" t="n"/>
      <c r="C31" s="42" t="n"/>
      <c r="D31" s="42" t="inlineStr">
        <is>
          <t>e.g. 5% of total inventory, or an absolute tCO2e cutoff -- state the basis for excluding immaterial sources</t>
        </is>
      </c>
    </row>
    <row r="32" ht="15" customHeight="1" s="33">
      <c r="A32" s="42" t="inlineStr">
        <is>
          <t>Sources Excluded as Immaterial</t>
        </is>
      </c>
      <c r="B32" s="42" t="n"/>
      <c r="C32" s="42" t="n"/>
      <c r="D32" s="42" t="inlineStr">
        <is>
          <t>List any emission source knowingly left out because it falls below the materiality threshold, with rationale</t>
        </is>
      </c>
    </row>
    <row r="33" ht="15" customHeight="1" s="33">
      <c r="A33" s="42" t="inlineStr">
        <is>
          <t>CO2e Conversion Note</t>
        </is>
      </c>
      <c r="B33" s="42" t="n"/>
      <c r="C33" s="42" t="n"/>
      <c r="D33" s="42" t="inlineStr">
        <is>
          <t>Confirm whether Scope 1/2 combustion factors used are CO2-only or full CO2e -- see DB_Master notes column per factor</t>
        </is>
      </c>
    </row>
    <row r="34" ht="15" customHeight="1" s="33">
      <c r="A34" s="42" t="n"/>
      <c r="B34" s="42" t="n"/>
      <c r="C34" s="42" t="n"/>
      <c r="D34" s="42" t="n"/>
    </row>
    <row r="35" ht="15" customHeight="1" s="33">
      <c r="A35" s="42" t="inlineStr">
        <is>
          <t>7. Version History</t>
        </is>
      </c>
      <c r="B35" s="42" t="n"/>
      <c r="C35" s="42" t="n"/>
      <c r="D35" s="42" t="n"/>
    </row>
    <row r="36" ht="15" customHeight="1" s="33">
      <c r="A36" s="42" t="inlineStr">
        <is>
          <t>Version</t>
        </is>
      </c>
      <c r="B36" s="42" t="inlineStr">
        <is>
          <t>Date</t>
        </is>
      </c>
      <c r="C36" s="42" t="inlineStr">
        <is>
          <t>Changes</t>
        </is>
      </c>
      <c r="D36" s="42" t="n"/>
    </row>
    <row r="37" ht="15" customHeight="1" s="33">
      <c r="A37" s="42" t="inlineStr">
        <is>
          <t>v5</t>
        </is>
      </c>
      <c r="B37" s="42" t="n"/>
      <c r="C37" s="42" t="inlineStr">
        <is>
          <t>CO2e labeling correction; materiality/exclusion fields added</t>
        </is>
      </c>
      <c r="D37" s="4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32" min="1" max="1"/>
    <col width="16" customWidth="1" style="32" min="2" max="2"/>
    <col width="70" customWidth="1" style="32" min="3" max="3"/>
    <col width="30" customWidth="1" style="32" min="4" max="4"/>
  </cols>
  <sheetData>
    <row r="1" ht="26.25" customHeight="1" s="33">
      <c r="A1" s="44" t="inlineStr">
        <is>
          <t>Lookup Key</t>
        </is>
      </c>
      <c r="B1" s="44" t="inlineStr">
        <is>
          <t>Emission Factor</t>
        </is>
      </c>
      <c r="C1" s="44" t="inlineStr">
        <is>
          <t>Source / Notes</t>
        </is>
      </c>
      <c r="D1" s="44" t="inlineStr">
        <is>
          <t>Automation Status</t>
        </is>
      </c>
    </row>
    <row r="2" ht="45.75" customHeight="1" s="33">
      <c r="A2" s="45" t="inlineStr">
        <is>
          <t>Diesel_Fuel</t>
        </is>
      </c>
      <c r="B2" s="45" t="n">
        <v>2.6558</v>
      </c>
      <c r="C2" s="45" t="inlineStr">
        <is>
          <t>India GHG Program base CO2 factor (2.64) + ~0.6% CH4/N2O uplift per US EPA GHG Equivalencies methodology (2024) = 2.6558 kgCO2e -- uplift is a documented approximation (CO2 is &gt;99% of combustion CO2e per EPA), not an India-specific measured N2O/CH4 split</t>
        </is>
      </c>
      <c r="D2" s="46" t="inlineStr">
        <is>
          <t>Fixed Factor</t>
        </is>
      </c>
    </row>
    <row r="3" ht="45.75" customHeight="1" s="33">
      <c r="A3" s="45" t="inlineStr">
        <is>
          <t>Petrol_Fuel</t>
        </is>
      </c>
      <c r="B3" s="45" t="n">
        <v>2.2836</v>
      </c>
      <c r="C3" s="45" t="inlineStr">
        <is>
          <t>India GHG Program base CO2 factor (2.27) + ~0.6% CH4/N2O uplift per US EPA GHG Equivalencies methodology (2024) = 2.2836 kgCO2e -- uplift is a documented approximation (CO2 is &gt;99% of combustion CO2e per EPA), not an India-specific measured N2O/CH4 split</t>
        </is>
      </c>
      <c r="D3" s="46" t="inlineStr">
        <is>
          <t>Fixed Factor</t>
        </is>
      </c>
    </row>
    <row r="4" ht="45.75" customHeight="1" s="33">
      <c r="A4" s="45" t="inlineStr">
        <is>
          <t>CNG_Fuel</t>
        </is>
      </c>
      <c r="B4" s="45" t="n">
        <v>2.686</v>
      </c>
      <c r="C4" s="45" t="inlineStr">
        <is>
          <t>India GHG Program base CO2 factor (2.67) + ~0.6% CH4/N2O uplift per US EPA GHG Equivalencies methodology (2024) = 2.686 kgCO2e -- uplift is a documented approximation (CO2 is &gt;99% of combustion CO2e per EPA), not an India-specific measured N2O/CH4 split</t>
        </is>
      </c>
      <c r="D4" s="46" t="inlineStr">
        <is>
          <t>Fixed Factor</t>
        </is>
      </c>
    </row>
    <row r="5" ht="45.75" customHeight="1" s="33">
      <c r="A5" s="45" t="inlineStr">
        <is>
          <t>LPG_Commercial</t>
        </is>
      </c>
      <c r="B5" s="45" t="n">
        <v>2.9979</v>
      </c>
      <c r="C5" s="45" t="inlineStr">
        <is>
          <t>India GHG Program base CO2 factor (2.98) + ~0.6% CH4/N2O uplift per US EPA GHG Equivalencies methodology (2024) = 2.9979 kgCO2e -- uplift is a documented approximation (CO2 is &gt;99% of combustion CO2e per EPA), not an India-specific measured N2O/CH4 split</t>
        </is>
      </c>
      <c r="D5" s="46" t="inlineStr">
        <is>
          <t>Fixed Factor</t>
        </is>
      </c>
    </row>
    <row r="6" ht="45.75" customHeight="1" s="33">
      <c r="A6" s="45" t="inlineStr">
        <is>
          <t>Coal_Indian</t>
        </is>
      </c>
      <c r="B6" s="45" t="n">
        <v>1.9919</v>
      </c>
      <c r="C6" s="45" t="inlineStr">
        <is>
          <t>India GHG Program base CO2 factor (1.98) + ~0.6% CH4/N2O uplift per US EPA GHG Equivalencies methodology (2024) = 1.9919 kgCO2e -- uplift is a documented approximation (CO2 is &gt;99% of combustion CO2e per EPA), not an India-specific measured N2O/CH4 split</t>
        </is>
      </c>
      <c r="D6" s="46" t="inlineStr">
        <is>
          <t>Fixed Factor</t>
        </is>
      </c>
    </row>
    <row r="7" ht="45.75" customHeight="1" s="33">
      <c r="A7" s="45" t="inlineStr">
        <is>
          <t>Furnace_Oil</t>
        </is>
      </c>
      <c r="B7" s="45" t="n">
        <v>3.1186</v>
      </c>
      <c r="C7" s="45" t="inlineStr">
        <is>
          <t>India GHG Program base CO2 factor (3.1) + ~0.6% CH4/N2O uplift per US EPA GHG Equivalencies methodology (2024) = 3.1186 kgCO2e -- uplift is a documented approximation (CO2 is &gt;99% of combustion CO2e per EPA), not an India-specific measured N2O/CH4 split</t>
        </is>
      </c>
      <c r="D7" s="46" t="inlineStr">
        <is>
          <t>Fixed Factor</t>
        </is>
      </c>
    </row>
    <row r="8" ht="45.75" customHeight="1" s="33">
      <c r="A8" s="45" t="inlineStr">
        <is>
          <t>Natural_Gas</t>
        </is>
      </c>
      <c r="B8" s="45" t="n">
        <v>1.8913</v>
      </c>
      <c r="C8" s="45" t="inlineStr">
        <is>
          <t>India GHG Program base CO2 factor (1.88) + ~0.6% CH4/N2O uplift per US EPA GHG Equivalencies methodology (2024) = 1.8913 kgCO2e -- uplift is a documented approximation (CO2 is &gt;99% of combustion CO2e per EPA), not an India-specific measured N2O/CH4 split</t>
        </is>
      </c>
      <c r="D8" s="46" t="inlineStr">
        <is>
          <t>Fixed Factor</t>
        </is>
      </c>
    </row>
    <row r="9" ht="45.75" customHeight="1" s="33">
      <c r="A9" s="45" t="inlineStr">
        <is>
          <t>Acetylene_Welding</t>
        </is>
      </c>
      <c r="B9" s="45" t="n">
        <v>3.4003</v>
      </c>
      <c r="C9" s="45" t="inlineStr">
        <is>
          <t>India GHG Program base CO2 factor (3.38) + ~0.6% CH4/N2O uplift per US EPA GHG Equivalencies methodology (2024) = 3.4003 kgCO2e -- uplift is a documented approximation (CO2 is &gt;99% of combustion CO2e per EPA), not an India-specific measured N2O/CH4 split</t>
        </is>
      </c>
      <c r="D9" s="46" t="inlineStr">
        <is>
          <t>Fixed Factor</t>
        </is>
      </c>
    </row>
    <row r="10" ht="15" customHeight="1" s="33">
      <c r="A10" s="45" t="inlineStr">
        <is>
          <t>Fire_Extinguisher_CO2</t>
        </is>
      </c>
      <c r="B10" s="45" t="n">
        <v>1</v>
      </c>
      <c r="C10" s="45" t="inlineStr">
        <is>
          <t>GWP of CO2 = 1, all AR vintages (kgCO2e/kg)</t>
        </is>
      </c>
      <c r="D10" s="46" t="inlineStr">
        <is>
          <t>Fixed Factor</t>
        </is>
      </c>
    </row>
    <row r="11" ht="15" customHeight="1" s="33">
      <c r="A11" s="45" t="inlineStr">
        <is>
          <t>Refrig_R32</t>
        </is>
      </c>
      <c r="B11" s="45" t="n">
        <v>675</v>
      </c>
      <c r="C11" s="45" t="inlineStr">
        <is>
          <t>IPCC AR4 GWP-100 (kgCO2e/kg) -- verify vintage required by your framework</t>
        </is>
      </c>
      <c r="D11" s="46" t="inlineStr">
        <is>
          <t>Fixed Factor</t>
        </is>
      </c>
    </row>
    <row r="12" ht="15" customHeight="1" s="33">
      <c r="A12" s="45" t="inlineStr">
        <is>
          <t>Refrig_R410A</t>
        </is>
      </c>
      <c r="B12" s="45" t="n">
        <v>2088</v>
      </c>
      <c r="C12" s="45" t="inlineStr">
        <is>
          <t>IPCC AR4 GWP-100 (kgCO2e/kg) -- verify vintage required by your framework</t>
        </is>
      </c>
      <c r="D12" s="46" t="inlineStr">
        <is>
          <t>Fixed Factor</t>
        </is>
      </c>
    </row>
    <row r="13" ht="15" customHeight="1" s="33">
      <c r="A13" s="45" t="inlineStr">
        <is>
          <t>Refrig_R22</t>
        </is>
      </c>
      <c r="B13" s="45" t="n">
        <v>1810</v>
      </c>
      <c r="C13" s="45" t="inlineStr">
        <is>
          <t>IPCC AR4 GWP-100 (kgCO2e/kg) -- verify vintage required by your framework</t>
        </is>
      </c>
      <c r="D13" s="46" t="inlineStr">
        <is>
          <t>Fixed Factor</t>
        </is>
      </c>
    </row>
    <row r="14" ht="45.75" customHeight="1" s="33">
      <c r="A14" s="45" t="inlineStr">
        <is>
          <t>Grid_India_CEA</t>
        </is>
      </c>
      <c r="B14" s="45" t="n">
        <v>0.7314000000000001</v>
      </c>
      <c r="C14" s="45" t="inlineStr">
        <is>
          <t>India GHG Program base CO2 factor (0.727) + ~0.6% CH4/N2O uplift per US EPA GHG Equivalencies methodology (2024) = 0.7314 kgCO2e -- uplift is a documented approximation (CO2 is &gt;99% of combustion CO2e per EPA), not an India-specific measured N2O/CH4 split</t>
        </is>
      </c>
      <c r="D14" s="46" t="inlineStr">
        <is>
          <t>Fixed Factor</t>
        </is>
      </c>
    </row>
    <row r="15" ht="45.75" customHeight="1" s="33">
      <c r="A15" s="45" t="inlineStr">
        <is>
          <t>Grid_MarketBased_Default</t>
        </is>
      </c>
      <c r="B15" s="45" t="n">
        <v>0.7314000000000001</v>
      </c>
      <c r="C15" s="45" t="inlineStr">
        <is>
          <t>India GHG Program base CO2 factor (0.727) + ~0.6% CH4/N2O uplift per US EPA GHG Equivalencies methodology (2024) = 0.7314 kgCO2e -- uplift is a documented approximation (CO2 is &gt;99% of combustion CO2e per EPA), not an India-specific measured N2O/CH4 split</t>
        </is>
      </c>
      <c r="D15" s="46" t="inlineStr">
        <is>
          <t>Fixed Factor</t>
        </is>
      </c>
    </row>
    <row r="16" ht="23.25" customHeight="1" s="33">
      <c r="A16" s="45" t="inlineStr">
        <is>
          <t>REC_Backed_Electricity</t>
        </is>
      </c>
      <c r="B16" s="45" t="n">
        <v>0</v>
      </c>
      <c r="C16" s="45" t="inlineStr">
        <is>
          <t>Renewable Energy Certificate / PPA-backed electricity, zero-rated per market-based method (kgCO2/kWh) -- confirm REC is unbundled and not double-counted</t>
        </is>
      </c>
      <c r="D16" s="46" t="inlineStr">
        <is>
          <t>Fixed Factor</t>
        </is>
      </c>
    </row>
    <row r="17" ht="45.75" customHeight="1" s="33">
      <c r="A17" s="45" t="inlineStr">
        <is>
          <t>Purchased_Steam</t>
        </is>
      </c>
      <c r="B17" s="45" t="n">
        <v>0.1811</v>
      </c>
      <c r="C17" s="45" t="inlineStr">
        <is>
          <t>India GHG Program base CO2 factor (0.18) + ~0.6% CH4/N2O uplift per US EPA GHG Equivalencies methodology (2024) = 0.1811 kgCO2e -- uplift is a documented approximation (CO2 is &gt;99% of combustion CO2e per EPA), not an India-specific measured N2O/CH4 split</t>
        </is>
      </c>
      <c r="D17" s="46" t="inlineStr">
        <is>
          <t>Fixed Factor</t>
        </is>
      </c>
    </row>
    <row r="18" ht="15" customHeight="1" s="33">
      <c r="A18" s="45" t="inlineStr">
        <is>
          <t>Transport_Truck_tkm</t>
        </is>
      </c>
      <c r="B18" s="45" t="n">
        <v>0.09</v>
      </c>
      <c r="C18" s="45" t="inlineStr">
        <is>
          <t>India Road Logistics (kgCO2/tonne-km)</t>
        </is>
      </c>
      <c r="D18" s="46" t="inlineStr">
        <is>
          <t>Fixed Factor</t>
        </is>
      </c>
    </row>
    <row r="19" ht="15" customHeight="1" s="33">
      <c r="A19" s="45" t="inlineStr">
        <is>
          <t>Transport_LCV_km</t>
        </is>
      </c>
      <c r="B19" s="45" t="n">
        <v>0.45</v>
      </c>
      <c r="C19" s="45" t="inlineStr">
        <is>
          <t>Light Commercial Vehicle (kgCO2/km)</t>
        </is>
      </c>
      <c r="D19" s="46" t="inlineStr">
        <is>
          <t>Fixed Factor</t>
        </is>
      </c>
    </row>
    <row r="20" ht="15" customHeight="1" s="33">
      <c r="A20" s="45" t="inlineStr">
        <is>
          <t>Transport_HGV_km</t>
        </is>
      </c>
      <c r="B20" s="45" t="n">
        <v>0.85</v>
      </c>
      <c r="C20" s="45" t="inlineStr">
        <is>
          <t>Heavy Goods Vehicle (kgCO2/km)</t>
        </is>
      </c>
      <c r="D20" s="46" t="inlineStr">
        <is>
          <t>Fixed Factor</t>
        </is>
      </c>
    </row>
    <row r="21" ht="15" customHeight="1" s="33">
      <c r="A21" s="45" t="inlineStr">
        <is>
          <t>Rail_Freight</t>
        </is>
      </c>
      <c r="B21" s="45" t="n">
        <v>0.015</v>
      </c>
      <c r="C21" s="45" t="inlineStr">
        <is>
          <t>Indian Railways Freight (kgCO2/tonne-km)</t>
        </is>
      </c>
      <c r="D21" s="46" t="inlineStr">
        <is>
          <t>Fixed Factor</t>
        </is>
      </c>
    </row>
    <row r="22" ht="15" customHeight="1" s="33">
      <c r="A22" s="45" t="inlineStr">
        <is>
          <t>Rail_Passenger</t>
        </is>
      </c>
      <c r="B22" s="45" t="n">
        <v>0.01</v>
      </c>
      <c r="C22" s="45" t="inlineStr">
        <is>
          <t>Indian Railways Passenger (kgCO2/p-km)</t>
        </is>
      </c>
      <c r="D22" s="46" t="inlineStr">
        <is>
          <t>Fixed Factor</t>
        </is>
      </c>
    </row>
    <row r="23" ht="15" customHeight="1" s="33">
      <c r="A23" s="45" t="inlineStr">
        <is>
          <t>Air_Domestic</t>
        </is>
      </c>
      <c r="B23" s="45" t="n">
        <v>0.12</v>
      </c>
      <c r="C23" s="45" t="inlineStr">
        <is>
          <t>Domestic Flights India (kgCO2/p-km)</t>
        </is>
      </c>
      <c r="D23" s="46" t="inlineStr">
        <is>
          <t>Fixed Factor</t>
        </is>
      </c>
    </row>
    <row r="24" ht="23.25" customHeight="1" s="33">
      <c r="A24" s="45" t="inlineStr">
        <is>
          <t>Air_International</t>
        </is>
      </c>
      <c r="B24" s="45" t="n">
        <v>0.117</v>
      </c>
      <c r="C24" s="45" t="inlineStr">
        <is>
          <t>DEFRA/DESNZ 2025 UK Government GHG Conversion Factors -- long-haul economy, with radiative forcing (kgCO2e/passenger-km)</t>
        </is>
      </c>
      <c r="D24" s="46" t="inlineStr">
        <is>
          <t>Fixed Factor</t>
        </is>
      </c>
    </row>
    <row r="25" ht="15" customHeight="1" s="33">
      <c r="A25" s="45" t="inlineStr">
        <is>
          <t>Air_Freight_Cargo</t>
        </is>
      </c>
      <c r="B25" s="45" t="n">
        <v>1.58</v>
      </c>
      <c r="C25" s="45" t="inlineStr">
        <is>
          <t>India GHG Program (kgCO2/tonne-km)</t>
        </is>
      </c>
      <c r="D25" s="46" t="inlineStr">
        <is>
          <t>Fixed Factor</t>
        </is>
      </c>
    </row>
    <row r="26" ht="15" customHeight="1" s="33">
      <c r="A26" s="45" t="inlineStr">
        <is>
          <t>Taxi_Diesel</t>
        </is>
      </c>
      <c r="B26" s="45" t="n">
        <v>0.14</v>
      </c>
      <c r="C26" s="45" t="inlineStr">
        <is>
          <t>India GHG Program (kgCO2/km)</t>
        </is>
      </c>
      <c r="D26" s="46" t="inlineStr">
        <is>
          <t>Fixed Factor</t>
        </is>
      </c>
    </row>
    <row r="27" ht="15" customHeight="1" s="33">
      <c r="A27" s="45" t="inlineStr">
        <is>
          <t>Commute_2Wheeler</t>
        </is>
      </c>
      <c r="B27" s="45" t="n">
        <v>0.04</v>
      </c>
      <c r="C27" s="45" t="inlineStr">
        <is>
          <t>Scooter/Bike Avg (kgCO2/km)</t>
        </is>
      </c>
      <c r="D27" s="46" t="inlineStr">
        <is>
          <t>Fixed Factor</t>
        </is>
      </c>
    </row>
    <row r="28" ht="15" customHeight="1" s="33">
      <c r="A28" s="45" t="inlineStr">
        <is>
          <t>Commute_Car_Avg</t>
        </is>
      </c>
      <c r="B28" s="45" t="n">
        <v>0.14</v>
      </c>
      <c r="C28" s="45" t="inlineStr">
        <is>
          <t>Avg Small Car (kgCO2/km)</t>
        </is>
      </c>
      <c r="D28" s="46" t="inlineStr">
        <is>
          <t>Fixed Factor</t>
        </is>
      </c>
    </row>
    <row r="29" ht="15" customHeight="1" s="33">
      <c r="A29" s="45" t="inlineStr">
        <is>
          <t>Commute_Car_Small</t>
        </is>
      </c>
      <c r="B29" s="45" t="n">
        <v>0.11</v>
      </c>
      <c r="C29" s="45" t="inlineStr">
        <is>
          <t>Small Car Segment (kgCO2/km)</t>
        </is>
      </c>
      <c r="D29" s="46" t="inlineStr">
        <is>
          <t>Fixed Factor</t>
        </is>
      </c>
    </row>
    <row r="30" ht="15" customHeight="1" s="33">
      <c r="A30" s="45" t="inlineStr">
        <is>
          <t>Commute_Car_Large</t>
        </is>
      </c>
      <c r="B30" s="45" t="n">
        <v>0.17</v>
      </c>
      <c r="C30" s="45" t="inlineStr">
        <is>
          <t>Large Car Segment (kgCO2/km)</t>
        </is>
      </c>
      <c r="D30" s="46" t="inlineStr">
        <is>
          <t>Fixed Factor</t>
        </is>
      </c>
    </row>
    <row r="31" ht="15" customHeight="1" s="33">
      <c r="A31" s="45" t="inlineStr">
        <is>
          <t>Commute_Bus</t>
        </is>
      </c>
      <c r="B31" s="45" t="n">
        <v>0.03</v>
      </c>
      <c r="C31" s="45" t="inlineStr">
        <is>
          <t>City Bus Service (kgCO2/p-km)</t>
        </is>
      </c>
      <c r="D31" s="46" t="inlineStr">
        <is>
          <t>Fixed Factor</t>
        </is>
      </c>
    </row>
    <row r="32" ht="15" customHeight="1" s="33">
      <c r="A32" s="45" t="inlineStr">
        <is>
          <t>Metro_Rail</t>
        </is>
      </c>
      <c r="B32" s="45" t="n">
        <v>0.015</v>
      </c>
      <c r="C32" s="45" t="inlineStr">
        <is>
          <t>Metro Rail (kgCO2/p-km)</t>
        </is>
      </c>
      <c r="D32" s="46" t="inlineStr">
        <is>
          <t>Fixed Factor</t>
        </is>
      </c>
    </row>
    <row r="33" ht="15" customHeight="1" s="33">
      <c r="A33" s="45" t="inlineStr">
        <is>
          <t>Waste_Landfill</t>
        </is>
      </c>
      <c r="B33" s="45" t="n">
        <v>0.85</v>
      </c>
      <c r="C33" s="45" t="inlineStr">
        <is>
          <t>Indian Landfill Methane (kgCO2e/kg waste)</t>
        </is>
      </c>
      <c r="D33" s="46" t="inlineStr">
        <is>
          <t>Fixed Factor</t>
        </is>
      </c>
    </row>
    <row r="34" ht="15" customHeight="1" s="33">
      <c r="A34" s="45" t="inlineStr">
        <is>
          <t>Waste_Recycle</t>
        </is>
      </c>
      <c r="B34" s="45" t="n">
        <v>0.021</v>
      </c>
      <c r="C34" s="45" t="inlineStr">
        <is>
          <t>Transport energy only (kgCO2/kg)</t>
        </is>
      </c>
      <c r="D34" s="46" t="inlineStr">
        <is>
          <t>Fixed Factor</t>
        </is>
      </c>
    </row>
    <row r="35" ht="15" customHeight="1" s="33">
      <c r="A35" s="45" t="inlineStr">
        <is>
          <t>Waste_Incineration</t>
        </is>
      </c>
      <c r="B35" s="45" t="n">
        <v>0.4</v>
      </c>
      <c r="C35" s="45" t="inlineStr">
        <is>
          <t>India GHG Program estimate (kgCO2e/kg) -- verify locally</t>
        </is>
      </c>
      <c r="D35" s="46" t="inlineStr">
        <is>
          <t>Fixed Factor</t>
        </is>
      </c>
    </row>
    <row r="36" ht="15" customHeight="1" s="33">
      <c r="A36" s="45" t="inlineStr">
        <is>
          <t>Wastewater_Treatment</t>
        </is>
      </c>
      <c r="B36" s="45" t="n">
        <v>0.708</v>
      </c>
      <c r="C36" s="45" t="inlineStr">
        <is>
          <t>India GHG Program (kgCO2/m3)</t>
        </is>
      </c>
      <c r="D36" s="46" t="inlineStr">
        <is>
          <t>Fixed Factor</t>
        </is>
      </c>
    </row>
    <row r="37" ht="45.75" customHeight="1" s="33">
      <c r="A37" s="45" t="inlineStr">
        <is>
          <t>Water_Supply</t>
        </is>
      </c>
      <c r="B37" s="45" t="n">
        <v>0.31</v>
      </c>
      <c r="C37" s="45" t="inlineStr">
        <is>
          <t>Cross-validated against international benchmarks: NZ Water Sector 2020/21 national methodology (~1.6-2.8 MJ/m3 energy intensity) and US LCA estimates (0.34-0.46 kgCO2/m3) both converge near this value -- no India-specific published factor exists; treat as an international proxy, not an India-measured figure</t>
        </is>
      </c>
      <c r="D37" s="46" t="inlineStr">
        <is>
          <t>Fixed Factor</t>
        </is>
      </c>
    </row>
    <row r="38" ht="15" customHeight="1" s="33">
      <c r="A38" s="45" t="inlineStr">
        <is>
          <t>Paper_Virgin</t>
        </is>
      </c>
      <c r="B38" s="45" t="n">
        <v>0.92</v>
      </c>
      <c r="C38" s="45" t="inlineStr">
        <is>
          <t>India GHG Program (kgCO2/kg)</t>
        </is>
      </c>
      <c r="D38" s="46" t="inlineStr">
        <is>
          <t>Fixed Factor</t>
        </is>
      </c>
    </row>
    <row r="39" ht="15" customHeight="1" s="33">
      <c r="A39" s="45" t="inlineStr">
        <is>
          <t>Paper_Recycled</t>
        </is>
      </c>
      <c r="B39" s="45" t="n">
        <v>0.6</v>
      </c>
      <c r="C39" s="45" t="inlineStr">
        <is>
          <t>India GHG Program (kgCO2/kg)</t>
        </is>
      </c>
      <c r="D39" s="46" t="inlineStr">
        <is>
          <t>Fixed Factor</t>
        </is>
      </c>
    </row>
    <row r="40" ht="15" customHeight="1" s="33">
      <c r="A40" s="45" t="inlineStr">
        <is>
          <t>Plastic_Packaging</t>
        </is>
      </c>
      <c r="B40" s="45" t="n">
        <v>2.5</v>
      </c>
      <c r="C40" s="45" t="inlineStr">
        <is>
          <t>India GHG Program (kgCO2/kg)</t>
        </is>
      </c>
      <c r="D40" s="46" t="inlineStr">
        <is>
          <t>Fixed Factor</t>
        </is>
      </c>
    </row>
    <row r="41" ht="45.75" customHeight="1" s="33">
      <c r="A41" s="45" t="inlineStr">
        <is>
          <t>Construction_Steel</t>
        </is>
      </c>
      <c r="B41" s="45" t="n">
        <v>2.33</v>
      </c>
      <c r="C41" s="45" t="inlineStr">
        <is>
          <t>World Steel Association -- integrated mill (BOF) production route (kgCO2e/kg); India's steel sector is majority BOF/integrated-mill with lower recycled content than EU/UK, so integrated-mill figure is the more representative default -- verify against specific supplier EPD where available</t>
        </is>
      </c>
      <c r="D41" s="46" t="inlineStr">
        <is>
          <t>Fixed Factor</t>
        </is>
      </c>
    </row>
    <row r="42" ht="15" customHeight="1" s="33">
      <c r="A42" s="45" t="inlineStr">
        <is>
          <t>Cement_Portland</t>
        </is>
      </c>
      <c r="B42" s="45" t="n">
        <v>0.9</v>
      </c>
      <c r="C42" s="45" t="inlineStr">
        <is>
          <t>India GHG Program (kgCO2/kg)</t>
        </is>
      </c>
      <c r="D42" s="46" t="inlineStr">
        <is>
          <t>Fixed Factor</t>
        </is>
      </c>
    </row>
    <row r="43" ht="23.25" customHeight="1" s="33">
      <c r="A43" s="45" t="inlineStr">
        <is>
          <t>Spend_IT</t>
        </is>
      </c>
      <c r="B43" s="45" t="n">
        <v>0.005</v>
      </c>
      <c r="C43" s="45" t="inlineStr">
        <is>
          <t>Proxy: 5 tCO2 per Million INR spend</t>
        </is>
      </c>
      <c r="D43" s="47" t="inlineStr">
        <is>
          <t>Proxy - Low Confidence (fallback only)</t>
        </is>
      </c>
    </row>
    <row r="44" ht="23.25" customHeight="1" s="33">
      <c r="A44" s="45" t="inlineStr">
        <is>
          <t>Spend_Construction</t>
        </is>
      </c>
      <c r="B44" s="45" t="n">
        <v>0.012</v>
      </c>
      <c r="C44" s="45" t="inlineStr">
        <is>
          <t>Proxy: 12 tCO2 per Million INR spend</t>
        </is>
      </c>
      <c r="D44" s="47" t="inlineStr">
        <is>
          <t>Proxy - Low Confidence (fallback only)</t>
        </is>
      </c>
    </row>
    <row r="45" ht="23.25" customHeight="1" s="33">
      <c r="A45" s="45" t="inlineStr">
        <is>
          <t>Spend_Generic_Services</t>
        </is>
      </c>
      <c r="B45" s="45" t="n">
        <v>0.003</v>
      </c>
      <c r="C45" s="45" t="inlineStr">
        <is>
          <t>Proxy: 3 tCO2 per Million INR spend -- use only where no better data exists</t>
        </is>
      </c>
      <c r="D45" s="47" t="inlineStr">
        <is>
          <t>Proxy - Low Confidence (fallback only)</t>
        </is>
      </c>
    </row>
    <row r="46" ht="15" customHeight="1" s="33">
      <c r="A46" s="45" t="inlineStr">
        <is>
          <t>Laptop_Unit</t>
        </is>
      </c>
      <c r="B46" s="45" t="n">
        <v>250</v>
      </c>
      <c r="C46" s="45" t="inlineStr">
        <is>
          <t>Embodied carbon per unit (kgCO2e/unit)</t>
        </is>
      </c>
      <c r="D46" s="46" t="inlineStr">
        <is>
          <t>Fixed Factor</t>
        </is>
      </c>
    </row>
    <row r="47" ht="15" customHeight="1" s="33">
      <c r="A47" s="45" t="inlineStr">
        <is>
          <t>Desktop_Unit</t>
        </is>
      </c>
      <c r="B47" s="45" t="n">
        <v>350</v>
      </c>
      <c r="C47" s="45" t="inlineStr">
        <is>
          <t>Embodied carbon per unit (kgCO2e/unit)</t>
        </is>
      </c>
      <c r="D47" s="46" t="inlineStr">
        <is>
          <t>Fixed Factor</t>
        </is>
      </c>
    </row>
    <row r="48" ht="15" customHeight="1" s="33">
      <c r="A48" s="45" t="inlineStr">
        <is>
          <t>Smartphone_Unit</t>
        </is>
      </c>
      <c r="B48" s="45" t="n">
        <v>65</v>
      </c>
      <c r="C48" s="45" t="inlineStr">
        <is>
          <t>Embodied carbon per unit (kgCO2e/unit)</t>
        </is>
      </c>
      <c r="D48" s="46" t="inlineStr">
        <is>
          <t>Fixed Factor</t>
        </is>
      </c>
    </row>
    <row r="49" ht="15" customHeight="1" s="33">
      <c r="A49" s="45" t="inlineStr">
        <is>
          <t>Furniture</t>
        </is>
      </c>
      <c r="B49" s="45" t="n">
        <v>3.5</v>
      </c>
      <c r="C49" s="45" t="inlineStr">
        <is>
          <t>Office furniture (kgCO2/kg)</t>
        </is>
      </c>
      <c r="D49" s="46" t="inlineStr">
        <is>
          <t>Fixed Factor</t>
        </is>
      </c>
    </row>
    <row r="50" ht="45.75" customHeight="1" s="33">
      <c r="A50" s="45" t="inlineStr">
        <is>
          <t>Grid_TD_Loss</t>
        </is>
      </c>
      <c r="B50" s="45" t="n">
        <v>0.1459</v>
      </c>
      <c r="C50" s="45" t="inlineStr">
        <is>
          <t>India GHG Program base CO2 factor (0.145) + ~0.6% CH4/N2O uplift per US EPA GHG Equivalencies methodology (2024) = 0.1459 kgCO2e -- uplift is a documented approximation (CO2 is &gt;99% of combustion CO2e per EPA), not an India-specific measured N2O/CH4 split</t>
        </is>
      </c>
      <c r="D50" s="46" t="inlineStr">
        <is>
          <t>Fixed Factor</t>
        </is>
      </c>
    </row>
    <row r="51" ht="45.75" customHeight="1" s="33">
      <c r="A51" s="45" t="inlineStr">
        <is>
          <t>WTT_Diesel</t>
        </is>
      </c>
      <c r="B51" s="45" t="n">
        <v>0.5835</v>
      </c>
      <c r="C51" s="45" t="inlineStr">
        <is>
          <t>India GHG Program base CO2 factor (0.58) + ~0.6% CH4/N2O uplift per US EPA GHG Equivalencies methodology (2024) = 0.5835 kgCO2e -- uplift is a documented approximation (CO2 is &gt;99% of combustion CO2e per EPA), not an India-specific measured N2O/CH4 split</t>
        </is>
      </c>
      <c r="D51" s="46" t="inlineStr">
        <is>
          <t>Fixed Factor</t>
        </is>
      </c>
    </row>
    <row r="52" ht="45.75" customHeight="1" s="33">
      <c r="A52" s="45" t="inlineStr">
        <is>
          <t>WTT_Petrol</t>
        </is>
      </c>
      <c r="B52" s="45" t="n">
        <v>0.4628</v>
      </c>
      <c r="C52" s="45" t="inlineStr">
        <is>
          <t>India GHG Program base CO2 factor (0.46) + ~0.6% CH4/N2O uplift per US EPA GHG Equivalencies methodology (2024) = 0.4628 kgCO2e -- uplift is a documented approximation (CO2 is &gt;99% of combustion CO2e per EPA), not an India-specific measured N2O/CH4 split</t>
        </is>
      </c>
      <c r="D52" s="46" t="inlineStr">
        <is>
          <t>Fixed Factor</t>
        </is>
      </c>
    </row>
    <row r="53" ht="15" customHeight="1" s="33">
      <c r="A53" s="45" t="inlineStr">
        <is>
          <t>Hotel_5Star</t>
        </is>
      </c>
      <c r="B53" s="45" t="n">
        <v>75.5</v>
      </c>
      <c r="C53" s="45" t="inlineStr">
        <is>
          <t>India GHG Program (kgCO2e/night)</t>
        </is>
      </c>
      <c r="D53" s="46" t="inlineStr">
        <is>
          <t>Fixed Factor</t>
        </is>
      </c>
    </row>
    <row r="54" ht="15" customHeight="1" s="33">
      <c r="A54" s="45" t="inlineStr">
        <is>
          <t>Hotel_Budget</t>
        </is>
      </c>
      <c r="B54" s="45" t="n">
        <v>25</v>
      </c>
      <c r="C54" s="45" t="inlineStr">
        <is>
          <t>India GHG Program (kgCO2e/night)</t>
        </is>
      </c>
      <c r="D54" s="46" t="inlineStr">
        <is>
          <t>Fixed Factor</t>
        </is>
      </c>
    </row>
    <row r="55" ht="15" customHeight="1" s="33">
      <c r="A55" s="45" t="inlineStr">
        <is>
          <t>Financed_Emissions_Passthrough</t>
        </is>
      </c>
      <c r="B55" s="45" t="n">
        <v>1</v>
      </c>
      <c r="C55" s="45" t="inlineStr">
        <is>
          <t>Direct pass-through of reported financed emissions (tCO2e/tCO2e)</t>
        </is>
      </c>
      <c r="D55" s="46" t="inlineStr">
        <is>
          <t>Fixed Factor</t>
        </is>
      </c>
    </row>
    <row r="56"/>
    <row r="57" ht="45" customHeight="1" s="33">
      <c r="A57" s="48" t="inlineStr">
        <is>
          <t>Note: six placeholder factors from v6 (Product_Use_Phase_Energy, Product_EndOfLife, Investment_Equity_Share, Franchise_Estimate, Leased_Asset_Downstream, Processing_Sold_Products_Proxy) have been removed from this table. A single generic factor cannot legitimately represent these — see the Scope3_Hard_Categories tab, where each is replaced with a formula driven by your own company/product data.</t>
        </is>
      </c>
    </row>
  </sheetData>
  <mergeCells count="1">
    <mergeCell ref="A57:D5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9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32" min="1" max="1"/>
    <col width="14" customWidth="1" style="32" min="2" max="2"/>
    <col width="12" customWidth="1" style="32" min="3" max="3"/>
    <col width="16" customWidth="1" style="32" min="4" max="4"/>
    <col width="26" customWidth="1" style="32" min="5" max="5"/>
    <col width="14" customWidth="1" style="32" min="6" max="6"/>
    <col width="34" customWidth="1" style="32" min="7" max="7"/>
  </cols>
  <sheetData>
    <row r="1" ht="26.25" customHeight="1" s="33">
      <c r="A1" s="44" t="inlineStr">
        <is>
          <t>Category / Item</t>
        </is>
      </c>
      <c r="B1" s="44" t="inlineStr">
        <is>
          <t>Quantity (Input)</t>
        </is>
      </c>
      <c r="C1" s="44" t="inlineStr">
        <is>
          <t>Unit</t>
        </is>
      </c>
      <c r="D1" s="44" t="inlineStr">
        <is>
          <t>Emission Factor (live)</t>
        </is>
      </c>
      <c r="E1" s="44" t="inlineStr">
        <is>
          <t>Data Quality</t>
        </is>
      </c>
      <c r="F1" s="44" t="inlineStr">
        <is>
          <t>Result (tCO2e)</t>
        </is>
      </c>
      <c r="G1" s="44" t="inlineStr">
        <is>
          <t>Flag</t>
        </is>
      </c>
    </row>
    <row r="2" ht="15" customHeight="1" s="33">
      <c r="A2" s="44" t="inlineStr">
        <is>
          <t>SCOPE 1 - DIRECT EMISSIONS</t>
        </is>
      </c>
    </row>
    <row r="3" ht="24.75" customHeight="1" s="33">
      <c r="A3" s="49" t="inlineStr">
        <is>
          <t>Category / Item</t>
        </is>
      </c>
      <c r="B3" s="49" t="inlineStr">
        <is>
          <t>Quantity (Input)</t>
        </is>
      </c>
      <c r="C3" s="49" t="inlineStr">
        <is>
          <t>Unit</t>
        </is>
      </c>
      <c r="D3" s="49" t="inlineStr">
        <is>
          <t>Emission Factor (live)</t>
        </is>
      </c>
      <c r="E3" s="49" t="inlineStr">
        <is>
          <t>Data Quality</t>
        </is>
      </c>
      <c r="F3" s="49" t="inlineStr">
        <is>
          <t>Result (tCO2e)</t>
        </is>
      </c>
      <c r="G3" s="49" t="inlineStr">
        <is>
          <t>Flag</t>
        </is>
      </c>
    </row>
    <row r="4" ht="15" customHeight="1" s="33">
      <c r="A4" s="50" t="inlineStr">
        <is>
          <t>Stationary Combustion</t>
        </is>
      </c>
      <c r="B4" s="32" t="n">
        <v>0</v>
      </c>
      <c r="E4" s="32" t="inlineStr">
        <is>
          <t>Not Yet Assessed</t>
        </is>
      </c>
    </row>
    <row r="5" ht="15" customHeight="1" s="33">
      <c r="A5" s="51" t="inlineStr">
        <is>
          <t>Diesel Generator (DG Sets)</t>
        </is>
      </c>
      <c r="B5" s="52" t="n">
        <v>0</v>
      </c>
      <c r="C5" s="51" t="inlineStr">
        <is>
          <t>Liters</t>
        </is>
      </c>
      <c r="D5" s="51" t="n">
        <v>2.6558</v>
      </c>
      <c r="E5" s="52" t="inlineStr">
        <is>
          <t>Not Yet Assessed</t>
        </is>
      </c>
      <c r="F5" s="51">
        <f>IF(B5=0,0,(B5*2.6558)/1000)</f>
        <v/>
      </c>
      <c r="G5" s="53">
        <f>IF(AND(B5&gt;0,E5="Not Yet Assessed"),"Quantity entered but Data Quality not assessed",IF(AND(B5&gt;0,D5=0),"Zero emission factor - check DB_Master",""))</f>
        <v/>
      </c>
    </row>
    <row r="6" ht="15" customHeight="1" s="33">
      <c r="A6" s="51" t="inlineStr">
        <is>
          <t>Furnace Oil (Boilers)</t>
        </is>
      </c>
      <c r="B6" s="52" t="n">
        <v>0</v>
      </c>
      <c r="C6" s="51" t="inlineStr">
        <is>
          <t>Liters</t>
        </is>
      </c>
      <c r="D6" s="51" t="n">
        <v>3.1186</v>
      </c>
      <c r="E6" s="52" t="inlineStr">
        <is>
          <t>Not Yet Assessed</t>
        </is>
      </c>
      <c r="F6" s="51">
        <f>IF(B6=0,0,(B6*3.1186)/1000)</f>
        <v/>
      </c>
      <c r="G6" s="53">
        <f>IF(AND(B6&gt;0,E6="Not Yet Assessed"),"Quantity entered but Data Quality not assessed",IF(AND(B6&gt;0,D6=0),"Zero emission factor - check DB_Master",""))</f>
        <v/>
      </c>
    </row>
    <row r="7" ht="15" customHeight="1" s="33">
      <c r="A7" s="51" t="inlineStr">
        <is>
          <t>Natural Gas</t>
        </is>
      </c>
      <c r="B7" s="52" t="n">
        <v>0</v>
      </c>
      <c r="C7" s="51" t="inlineStr">
        <is>
          <t>scm</t>
        </is>
      </c>
      <c r="D7" s="51" t="n">
        <v>1.8913</v>
      </c>
      <c r="E7" s="52" t="inlineStr">
        <is>
          <t>Not Yet Assessed</t>
        </is>
      </c>
      <c r="F7" s="51">
        <f>IF(B7=0,0,(B7*1.8913)/1000)</f>
        <v/>
      </c>
      <c r="G7" s="53">
        <f>IF(AND(B7&gt;0,E7="Not Yet Assessed"),"Quantity entered but Data Quality not assessed",IF(AND(B7&gt;0,D7=0),"Zero emission factor - check DB_Master",""))</f>
        <v/>
      </c>
    </row>
    <row r="8" ht="15" customHeight="1" s="33">
      <c r="A8" s="51" t="inlineStr">
        <is>
          <t>Indian Coal (Boilers)</t>
        </is>
      </c>
      <c r="B8" s="52" t="n">
        <v>0</v>
      </c>
      <c r="C8" s="51" t="inlineStr">
        <is>
          <t>kg</t>
        </is>
      </c>
      <c r="D8" s="51" t="n">
        <v>1.9919</v>
      </c>
      <c r="E8" s="52" t="inlineStr">
        <is>
          <t>Not Yet Assessed</t>
        </is>
      </c>
      <c r="F8" s="51">
        <f>IF(B8=0,0,(B8*1.9919)/1000)</f>
        <v/>
      </c>
      <c r="G8" s="53">
        <f>IF(AND(B8&gt;0,E8="Not Yet Assessed"),"Quantity entered but Data Quality not assessed",IF(AND(B8&gt;0,D8=0),"Zero emission factor - check DB_Master",""))</f>
        <v/>
      </c>
    </row>
    <row r="9" ht="15" customHeight="1" s="33">
      <c r="A9" s="51" t="inlineStr">
        <is>
          <t>Commercial LPG</t>
        </is>
      </c>
      <c r="B9" s="52" t="n">
        <v>0</v>
      </c>
      <c r="C9" s="51" t="inlineStr">
        <is>
          <t>kg</t>
        </is>
      </c>
      <c r="D9" s="51" t="n">
        <v>2.9979</v>
      </c>
      <c r="E9" s="52" t="inlineStr">
        <is>
          <t>Not Yet Assessed</t>
        </is>
      </c>
      <c r="F9" s="51">
        <f>IF(B9=0,0,(B9*2.9979)/1000)</f>
        <v/>
      </c>
      <c r="G9" s="53">
        <f>IF(AND(B9&gt;0,E9="Not Yet Assessed"),"Quantity entered but Data Quality not assessed",IF(AND(B9&gt;0,D9=0),"Zero emission factor - check DB_Master",""))</f>
        <v/>
      </c>
    </row>
    <row r="10" ht="15" customHeight="1" s="33">
      <c r="A10" s="50" t="inlineStr">
        <is>
          <t>Mobile Combustion (Owned/Leased Vehicles)</t>
        </is>
      </c>
    </row>
    <row r="11" ht="15" customHeight="1" s="33">
      <c r="A11" s="51" t="inlineStr">
        <is>
          <t>Petrol Company Cars</t>
        </is>
      </c>
      <c r="B11" s="52" t="n">
        <v>0</v>
      </c>
      <c r="C11" s="51" t="inlineStr">
        <is>
          <t>Liters</t>
        </is>
      </c>
      <c r="D11" s="51" t="n">
        <v>2.2836</v>
      </c>
      <c r="E11" s="52" t="inlineStr">
        <is>
          <t>Not Yet Assessed</t>
        </is>
      </c>
      <c r="F11" s="51">
        <f>IF(B11=0,0,(B11*2.2836)/1000)</f>
        <v/>
      </c>
      <c r="G11" s="53">
        <f>IF(AND(B11&gt;0,E11="Not Yet Assessed"),"Quantity entered but Data Quality not assessed",IF(AND(B11&gt;0,D11=0),"Zero emission factor - check DB_Master",""))</f>
        <v/>
      </c>
    </row>
    <row r="12" ht="15" customHeight="1" s="33">
      <c r="A12" s="51" t="inlineStr">
        <is>
          <t>Diesel Company Vehicles</t>
        </is>
      </c>
      <c r="B12" s="52" t="n">
        <v>0</v>
      </c>
      <c r="C12" s="51" t="inlineStr">
        <is>
          <t>Liters</t>
        </is>
      </c>
      <c r="D12" s="51" t="n">
        <v>2.6558</v>
      </c>
      <c r="E12" s="52" t="inlineStr">
        <is>
          <t>Not Yet Assessed</t>
        </is>
      </c>
      <c r="F12" s="51">
        <f>IF(B12=0,0,(B12*2.6558)/1000)</f>
        <v/>
      </c>
      <c r="G12" s="53">
        <f>IF(AND(B12&gt;0,E12="Not Yet Assessed"),"Quantity entered but Data Quality not assessed",IF(AND(B12&gt;0,D12=0),"Zero emission factor - check DB_Master",""))</f>
        <v/>
      </c>
    </row>
    <row r="13" ht="15" customHeight="1" s="33">
      <c r="A13" s="51" t="inlineStr">
        <is>
          <t>CNG Vehicles</t>
        </is>
      </c>
      <c r="B13" s="52" t="n">
        <v>0</v>
      </c>
      <c r="C13" s="51" t="inlineStr">
        <is>
          <t>kg</t>
        </is>
      </c>
      <c r="D13" s="51" t="n">
        <v>2.686</v>
      </c>
      <c r="E13" s="52" t="inlineStr">
        <is>
          <t>Not Yet Assessed</t>
        </is>
      </c>
      <c r="F13" s="51">
        <f>IF(B13=0,0,(B13*2.686)/1000)</f>
        <v/>
      </c>
      <c r="G13" s="53">
        <f>IF(AND(B13&gt;0,E13="Not Yet Assessed"),"Quantity entered but Data Quality not assessed",IF(AND(B13&gt;0,D13=0),"Zero emission factor - check DB_Master",""))</f>
        <v/>
      </c>
    </row>
    <row r="14" ht="15" customHeight="1" s="33">
      <c r="A14" s="50" t="inlineStr">
        <is>
          <t>Fugitive Emissions</t>
        </is>
      </c>
    </row>
    <row r="15" ht="15" customHeight="1" s="33">
      <c r="A15" s="51" t="inlineStr">
        <is>
          <t>Refrigerant Top-up - R-32</t>
        </is>
      </c>
      <c r="B15" s="52" t="n">
        <v>0</v>
      </c>
      <c r="C15" s="51" t="inlineStr">
        <is>
          <t>kg</t>
        </is>
      </c>
      <c r="D15" s="51" t="n">
        <v>675</v>
      </c>
      <c r="E15" s="52" t="inlineStr">
        <is>
          <t>Not Yet Assessed</t>
        </is>
      </c>
      <c r="F15" s="51">
        <f>IF(B15=0,0,(B15*675.0)/1000)</f>
        <v/>
      </c>
      <c r="G15" s="53">
        <f>IF(AND(B15&gt;0,E15="Not Yet Assessed"),"Quantity entered but Data Quality not assessed",IF(AND(B15&gt;0,D15=0),"Zero emission factor - check DB_Master",""))</f>
        <v/>
      </c>
    </row>
    <row r="16" ht="15" customHeight="1" s="33">
      <c r="A16" s="51" t="inlineStr">
        <is>
          <t>Refrigerant Top-up - R-410A</t>
        </is>
      </c>
      <c r="B16" s="52" t="n">
        <v>0</v>
      </c>
      <c r="C16" s="51" t="inlineStr">
        <is>
          <t>kg</t>
        </is>
      </c>
      <c r="D16" s="51" t="n">
        <v>2088</v>
      </c>
      <c r="E16" s="52" t="inlineStr">
        <is>
          <t>Not Yet Assessed</t>
        </is>
      </c>
      <c r="F16" s="51">
        <f>IF(B16=0,0,(B16*2088.0)/1000)</f>
        <v/>
      </c>
      <c r="G16" s="53">
        <f>IF(AND(B16&gt;0,E16="Not Yet Assessed"),"Quantity entered but Data Quality not assessed",IF(AND(B16&gt;0,D16=0),"Zero emission factor - check DB_Master",""))</f>
        <v/>
      </c>
    </row>
    <row r="17" ht="15" customHeight="1" s="33">
      <c r="A17" s="51" t="inlineStr">
        <is>
          <t>Refrigerant Top-up - R-22</t>
        </is>
      </c>
      <c r="B17" s="52" t="n">
        <v>0</v>
      </c>
      <c r="C17" s="51" t="inlineStr">
        <is>
          <t>kg</t>
        </is>
      </c>
      <c r="D17" s="51" t="n">
        <v>1810</v>
      </c>
      <c r="E17" s="52" t="inlineStr">
        <is>
          <t>Not Yet Assessed</t>
        </is>
      </c>
      <c r="F17" s="51">
        <f>IF(B17=0,0,(B17*1810.0)/1000)</f>
        <v/>
      </c>
      <c r="G17" s="53">
        <f>IF(AND(B17&gt;0,E17="Not Yet Assessed"),"Quantity entered but Data Quality not assessed",IF(AND(B17&gt;0,D17=0),"Zero emission factor - check DB_Master",""))</f>
        <v/>
      </c>
    </row>
    <row r="18" ht="15" customHeight="1" s="33">
      <c r="A18" s="50" t="inlineStr">
        <is>
          <t>Process Emissions</t>
        </is>
      </c>
    </row>
    <row r="19" ht="15" customHeight="1" s="33">
      <c r="A19" s="51" t="inlineStr">
        <is>
          <t>Acetylene Welding</t>
        </is>
      </c>
      <c r="B19" s="52" t="n">
        <v>0</v>
      </c>
      <c r="C19" s="51" t="inlineStr">
        <is>
          <t>kg</t>
        </is>
      </c>
      <c r="D19" s="51" t="n">
        <v>3.4003</v>
      </c>
      <c r="E19" s="52" t="inlineStr">
        <is>
          <t>Not Yet Assessed</t>
        </is>
      </c>
      <c r="F19" s="51">
        <f>IF(B19=0,0,(B19*3.4003)/1000)</f>
        <v/>
      </c>
      <c r="G19" s="53">
        <f>IF(AND(B19&gt;0,E19="Not Yet Assessed"),"Quantity entered but Data Quality not assessed",IF(AND(B19&gt;0,D19=0),"Zero emission factor - check DB_Master",""))</f>
        <v/>
      </c>
    </row>
    <row r="20" ht="15" customHeight="1" s="33">
      <c r="A20" s="51" t="inlineStr">
        <is>
          <t>CO2 Fire Extinguisher Discharge</t>
        </is>
      </c>
      <c r="B20" s="52" t="n">
        <v>0</v>
      </c>
      <c r="C20" s="51" t="inlineStr">
        <is>
          <t>kg</t>
        </is>
      </c>
      <c r="D20" s="51" t="n">
        <v>1</v>
      </c>
      <c r="E20" s="52" t="inlineStr">
        <is>
          <t>Not Yet Assessed</t>
        </is>
      </c>
      <c r="F20" s="51">
        <f>IF(B20=0,0,(B20*1.0)/1000)</f>
        <v/>
      </c>
      <c r="G20" s="53">
        <f>IF(AND(B20&gt;0,E20="Not Yet Assessed"),"Quantity entered but Data Quality not assessed",IF(AND(B20&gt;0,D20=0),"Zero emission factor - check DB_Master",""))</f>
        <v/>
      </c>
    </row>
    <row r="21"/>
    <row r="22" ht="15" customHeight="1" s="33">
      <c r="A22" s="54" t="inlineStr">
        <is>
          <t>SCOPE 1 TOTAL</t>
        </is>
      </c>
      <c r="B22" s="55" t="n"/>
      <c r="C22" s="55" t="n"/>
      <c r="D22" s="55" t="n"/>
      <c r="E22" s="55" t="n"/>
      <c r="F22" s="55">
        <f>SUM(F3:F21)</f>
        <v/>
      </c>
      <c r="G22" s="55" t="n"/>
    </row>
    <row r="23"/>
    <row r="24" ht="15" customHeight="1" s="33">
      <c r="A24" s="44" t="inlineStr">
        <is>
          <t>SCOPE 2 - PURCHASED ENERGY (Dual Reporting per GHG Protocol Scope 2 Guidance)</t>
        </is>
      </c>
    </row>
    <row r="25" ht="24.75" customHeight="1" s="33">
      <c r="A25" s="49" t="inlineStr">
        <is>
          <t>Category / Item</t>
        </is>
      </c>
      <c r="B25" s="49" t="inlineStr">
        <is>
          <t>Quantity (Input)</t>
        </is>
      </c>
      <c r="C25" s="49" t="inlineStr">
        <is>
          <t>Unit</t>
        </is>
      </c>
      <c r="D25" s="49" t="inlineStr">
        <is>
          <t>Emission Factor (live)</t>
        </is>
      </c>
      <c r="E25" s="49" t="inlineStr">
        <is>
          <t>Data Quality</t>
        </is>
      </c>
      <c r="F25" s="49" t="inlineStr">
        <is>
          <t>Result (tCO2e)</t>
        </is>
      </c>
      <c r="G25" s="49" t="inlineStr">
        <is>
          <t>Flag</t>
        </is>
      </c>
    </row>
    <row r="26" ht="15" customHeight="1" s="33">
      <c r="A26" s="50" t="inlineStr">
        <is>
          <t>Location-Based Method (grid average emission factor)</t>
        </is>
      </c>
    </row>
    <row r="27" ht="15" customHeight="1" s="33">
      <c r="A27" s="51" t="inlineStr">
        <is>
          <t>Office Electricity - Grid Average</t>
        </is>
      </c>
      <c r="B27" s="52" t="n">
        <v>0</v>
      </c>
      <c r="C27" s="51" t="inlineStr">
        <is>
          <t>kWh</t>
        </is>
      </c>
      <c r="D27" s="51" t="n">
        <v>0.7314000000000001</v>
      </c>
      <c r="E27" s="52" t="inlineStr">
        <is>
          <t>Not Yet Assessed</t>
        </is>
      </c>
      <c r="F27" s="51">
        <f>IF(B27=0,0,(B27*0.7314)/1000)</f>
        <v/>
      </c>
      <c r="G27" s="53">
        <f>IF(AND(B27&gt;0,E27="Not Yet Assessed"),"Quantity entered but Data Quality not assessed",IF(AND(B27&gt;0,D27=0),"Zero emission factor - check DB_Master",""))</f>
        <v/>
      </c>
    </row>
    <row r="28" ht="15" customHeight="1" s="33">
      <c r="A28" s="51" t="inlineStr">
        <is>
          <t>Factory Electricity - Grid Average</t>
        </is>
      </c>
      <c r="B28" s="52" t="n">
        <v>0</v>
      </c>
      <c r="C28" s="51" t="inlineStr">
        <is>
          <t>kWh</t>
        </is>
      </c>
      <c r="D28" s="51" t="n">
        <v>0.7314000000000001</v>
      </c>
      <c r="E28" s="52" t="inlineStr">
        <is>
          <t>Not Yet Assessed</t>
        </is>
      </c>
      <c r="F28" s="51">
        <f>IF(B28=0,0,(B28*0.7314)/1000)</f>
        <v/>
      </c>
      <c r="G28" s="53">
        <f>IF(AND(B28&gt;0,E28="Not Yet Assessed"),"Quantity entered but Data Quality not assessed",IF(AND(B28&gt;0,D28=0),"Zero emission factor - check DB_Master",""))</f>
        <v/>
      </c>
    </row>
    <row r="29" ht="15" customHeight="1" s="33">
      <c r="A29" s="51" t="inlineStr">
        <is>
          <t>Warehouse Electricity - Grid Average</t>
        </is>
      </c>
      <c r="B29" s="52" t="n">
        <v>0</v>
      </c>
      <c r="C29" s="51" t="inlineStr">
        <is>
          <t>kWh</t>
        </is>
      </c>
      <c r="D29" s="51" t="n">
        <v>0.7314000000000001</v>
      </c>
      <c r="E29" s="52" t="inlineStr">
        <is>
          <t>Not Yet Assessed</t>
        </is>
      </c>
      <c r="F29" s="51">
        <f>IF(B29=0,0,(B29*0.7314)/1000)</f>
        <v/>
      </c>
      <c r="G29" s="53">
        <f>IF(AND(B29&gt;0,E29="Not Yet Assessed"),"Quantity entered but Data Quality not assessed",IF(AND(B29&gt;0,D29=0),"Zero emission factor - check DB_Master",""))</f>
        <v/>
      </c>
    </row>
    <row r="30" ht="15" customHeight="1" s="33">
      <c r="A30" s="51" t="inlineStr">
        <is>
          <t>Purchased Steam</t>
        </is>
      </c>
      <c r="B30" s="52" t="n">
        <v>0</v>
      </c>
      <c r="C30" s="51" t="inlineStr">
        <is>
          <t>kg</t>
        </is>
      </c>
      <c r="D30" s="51" t="n">
        <v>0.1811</v>
      </c>
      <c r="E30" s="52" t="inlineStr">
        <is>
          <t>Not Yet Assessed</t>
        </is>
      </c>
      <c r="F30" s="51">
        <f>IF(B30=0,0,(B30*0.1811)/1000)</f>
        <v/>
      </c>
      <c r="G30" s="53">
        <f>IF(AND(B30&gt;0,E30="Not Yet Assessed"),"Quantity entered but Data Quality not assessed",IF(AND(B30&gt;0,D30=0),"Zero emission factor - check DB_Master",""))</f>
        <v/>
      </c>
    </row>
    <row r="31"/>
    <row r="32" ht="15" customHeight="1" s="33">
      <c r="A32" s="54" t="inlineStr">
        <is>
          <t>SCOPE 2 TOTAL (Location-Based)</t>
        </is>
      </c>
      <c r="B32" s="55" t="n"/>
      <c r="C32" s="55" t="n"/>
      <c r="D32" s="55" t="n"/>
      <c r="E32" s="55" t="n"/>
      <c r="F32" s="55">
        <f>SUM(F25:F31)</f>
        <v/>
      </c>
      <c r="G32" s="55" t="n"/>
    </row>
    <row r="33"/>
    <row r="34" ht="15" customHeight="1" s="33">
      <c r="A34" s="50" t="inlineStr">
        <is>
          <t>Market-Based Method (supplier-specific / REC / residual mix)</t>
        </is>
      </c>
    </row>
    <row r="35" ht="15" customHeight="1" s="33">
      <c r="A35" s="51" t="inlineStr">
        <is>
          <t>Office Electricity - Supplier/Residual Mix</t>
        </is>
      </c>
      <c r="B35" s="52" t="n">
        <v>0</v>
      </c>
      <c r="C35" s="51" t="inlineStr">
        <is>
          <t>kWh</t>
        </is>
      </c>
      <c r="D35" s="51" t="n">
        <v>0.7314000000000001</v>
      </c>
      <c r="E35" s="52" t="inlineStr">
        <is>
          <t>Not Yet Assessed</t>
        </is>
      </c>
      <c r="F35" s="51">
        <f>IF(B35=0,0,(B35*0.7314)/1000)</f>
        <v/>
      </c>
      <c r="G35" s="53">
        <f>IF(AND(B35&gt;0,E35="Not Yet Assessed"),"Quantity entered but Data Quality not assessed",IF(AND(B35&gt;0,D35=0),"Zero emission factor - check DB_Master",""))</f>
        <v/>
      </c>
    </row>
    <row r="36" ht="15" customHeight="1" s="33">
      <c r="A36" s="51" t="inlineStr">
        <is>
          <t>Factory Electricity - Supplier/Residual Mix</t>
        </is>
      </c>
      <c r="B36" s="52" t="n">
        <v>0</v>
      </c>
      <c r="C36" s="51" t="inlineStr">
        <is>
          <t>kWh</t>
        </is>
      </c>
      <c r="D36" s="51" t="n">
        <v>0.7314000000000001</v>
      </c>
      <c r="E36" s="52" t="inlineStr">
        <is>
          <t>Not Yet Assessed</t>
        </is>
      </c>
      <c r="F36" s="51">
        <f>IF(B36=0,0,(B36*0.7314)/1000)</f>
        <v/>
      </c>
      <c r="G36" s="53">
        <f>IF(AND(B36&gt;0,E36="Not Yet Assessed"),"Quantity entered but Data Quality not assessed",IF(AND(B36&gt;0,D36=0),"Zero emission factor - check DB_Master",""))</f>
        <v/>
      </c>
    </row>
    <row r="37" ht="15" customHeight="1" s="33">
      <c r="A37" s="51" t="inlineStr">
        <is>
          <t>Renewable/REC-Backed Electricity Purchased</t>
        </is>
      </c>
      <c r="B37" s="52" t="n">
        <v>0</v>
      </c>
      <c r="C37" s="51" t="inlineStr">
        <is>
          <t>kWh</t>
        </is>
      </c>
      <c r="D37" s="51" t="n">
        <v>0</v>
      </c>
      <c r="E37" s="52" t="inlineStr">
        <is>
          <t>Not Yet Assessed</t>
        </is>
      </c>
      <c r="F37" s="51">
        <f>IF(B37=0,0,(B37*0.0)/1000)</f>
        <v/>
      </c>
      <c r="G37" s="53">
        <f>IF(AND(B37&gt;0,E37="Not Yet Assessed"),"Quantity entered but Data Quality not assessed",IF(AND(B37&gt;0,D37=0),"Zero emission factor - check DB_Master",""))</f>
        <v/>
      </c>
    </row>
    <row r="38"/>
    <row r="39" ht="15" customHeight="1" s="33">
      <c r="A39" s="54" t="inlineStr">
        <is>
          <t>SCOPE 2 TOTAL (Market-Based)</t>
        </is>
      </c>
      <c r="B39" s="55" t="n"/>
      <c r="C39" s="55" t="n"/>
      <c r="D39" s="55" t="n"/>
      <c r="E39" s="55" t="n"/>
      <c r="F39" s="55">
        <f>SUM(F33:F38)</f>
        <v/>
      </c>
      <c r="G39" s="55" t="n"/>
    </row>
    <row r="40"/>
    <row r="41" ht="15" customHeight="1" s="33">
      <c r="A41" s="44" t="inlineStr">
        <is>
          <t>SCOPE 3 - VALUE CHAIN (all 15 GHG Protocol categories)</t>
        </is>
      </c>
    </row>
    <row r="42" ht="24.75" customHeight="1" s="33">
      <c r="A42" s="49" t="inlineStr">
        <is>
          <t>Category / Item</t>
        </is>
      </c>
      <c r="B42" s="49" t="inlineStr">
        <is>
          <t>Quantity (Input)</t>
        </is>
      </c>
      <c r="C42" s="49" t="inlineStr">
        <is>
          <t>Unit</t>
        </is>
      </c>
      <c r="D42" s="49" t="inlineStr">
        <is>
          <t>Emission Factor (live)</t>
        </is>
      </c>
      <c r="E42" s="49" t="inlineStr">
        <is>
          <t>Data Quality</t>
        </is>
      </c>
      <c r="F42" s="49" t="inlineStr">
        <is>
          <t>Result (tCO2e)</t>
        </is>
      </c>
      <c r="G42" s="49" t="inlineStr">
        <is>
          <t>Flag</t>
        </is>
      </c>
    </row>
    <row r="43" ht="18" customHeight="1" s="33">
      <c r="A43" s="56" t="inlineStr">
        <is>
          <t>Category 1: Purchased Goods &amp; Services</t>
        </is>
      </c>
      <c r="B43" s="57" t="n"/>
      <c r="C43" s="57" t="n"/>
      <c r="D43" s="57" t="n"/>
      <c r="E43" s="57" t="n"/>
      <c r="F43" s="57" t="n"/>
      <c r="G43" s="58" t="n"/>
    </row>
    <row r="44" ht="15" customHeight="1" s="33">
      <c r="A44" s="51" t="inlineStr">
        <is>
          <t>IT / Professional Services (Spend)</t>
        </is>
      </c>
      <c r="B44" s="52" t="n">
        <v>0</v>
      </c>
      <c r="C44" s="51" t="inlineStr">
        <is>
          <t>INR</t>
        </is>
      </c>
      <c r="D44" s="51" t="n">
        <v>0.005</v>
      </c>
      <c r="E44" s="52" t="inlineStr">
        <is>
          <t>Not Yet Assessed</t>
        </is>
      </c>
      <c r="F44" s="51">
        <f>IF(B44=0,0,(B44*0.005)/1000)</f>
        <v/>
      </c>
      <c r="G44" s="53">
        <f>IF(AND(B44&gt;0,E44="Not Yet Assessed"),"Quantity entered but Data Quality not assessed",IF(AND(B44&gt;0,D44=0),"Zero emission factor - check DB_Master",""))</f>
        <v/>
      </c>
    </row>
    <row r="45" ht="15" customHeight="1" s="33">
      <c r="A45" s="51" t="inlineStr">
        <is>
          <t>Construction / Repairs (Spend)</t>
        </is>
      </c>
      <c r="B45" s="52" t="n">
        <v>0</v>
      </c>
      <c r="C45" s="51" t="inlineStr">
        <is>
          <t>INR</t>
        </is>
      </c>
      <c r="D45" s="51" t="n">
        <v>0.012</v>
      </c>
      <c r="E45" s="52" t="inlineStr">
        <is>
          <t>Not Yet Assessed</t>
        </is>
      </c>
      <c r="F45" s="51">
        <f>IF(B45=0,0,(B45*0.012)/1000)</f>
        <v/>
      </c>
      <c r="G45" s="53">
        <f>IF(AND(B45&gt;0,E45="Not Yet Assessed"),"Quantity entered but Data Quality not assessed",IF(AND(B45&gt;0,D45=0),"Zero emission factor - check DB_Master",""))</f>
        <v/>
      </c>
    </row>
    <row r="46" ht="15" customHeight="1" s="33">
      <c r="A46" s="51" t="inlineStr">
        <is>
          <t>Generic Purchased Services (Spend)</t>
        </is>
      </c>
      <c r="B46" s="52" t="n">
        <v>0</v>
      </c>
      <c r="C46" s="51" t="inlineStr">
        <is>
          <t>INR</t>
        </is>
      </c>
      <c r="D46" s="51" t="n">
        <v>0.003</v>
      </c>
      <c r="E46" s="52" t="inlineStr">
        <is>
          <t>Not Yet Assessed</t>
        </is>
      </c>
      <c r="F46" s="51">
        <f>IF(B46=0,0,(B46*0.003)/1000)</f>
        <v/>
      </c>
      <c r="G46" s="53">
        <f>IF(AND(B46&gt;0,E46="Not Yet Assessed"),"Quantity entered but Data Quality not assessed",IF(AND(B46&gt;0,D46=0),"Zero emission factor - check DB_Master",""))</f>
        <v/>
      </c>
    </row>
    <row r="47" ht="15" customHeight="1" s="33">
      <c r="A47" s="51" t="inlineStr">
        <is>
          <t>Virgin Paper Procurement</t>
        </is>
      </c>
      <c r="B47" s="52" t="n">
        <v>0</v>
      </c>
      <c r="C47" s="51" t="inlineStr">
        <is>
          <t>kg</t>
        </is>
      </c>
      <c r="D47" s="51" t="n">
        <v>0.92</v>
      </c>
      <c r="E47" s="52" t="inlineStr">
        <is>
          <t>Not Yet Assessed</t>
        </is>
      </c>
      <c r="F47" s="51">
        <f>IF(B47=0,0,(B47*0.92)/1000)</f>
        <v/>
      </c>
      <c r="G47" s="53">
        <f>IF(AND(B47&gt;0,E47="Not Yet Assessed"),"Quantity entered but Data Quality not assessed",IF(AND(B47&gt;0,D47=0),"Zero emission factor - check DB_Master",""))</f>
        <v/>
      </c>
    </row>
    <row r="48" ht="15" customHeight="1" s="33">
      <c r="A48" s="51" t="inlineStr">
        <is>
          <t>Recycled Paper Procurement</t>
        </is>
      </c>
      <c r="B48" s="52" t="n">
        <v>0</v>
      </c>
      <c r="C48" s="51" t="inlineStr">
        <is>
          <t>kg</t>
        </is>
      </c>
      <c r="D48" s="51" t="n">
        <v>0.6</v>
      </c>
      <c r="E48" s="52" t="inlineStr">
        <is>
          <t>Not Yet Assessed</t>
        </is>
      </c>
      <c r="F48" s="51">
        <f>IF(B48=0,0,(B48*0.6)/1000)</f>
        <v/>
      </c>
      <c r="G48" s="53">
        <f>IF(AND(B48&gt;0,E48="Not Yet Assessed"),"Quantity entered but Data Quality not assessed",IF(AND(B48&gt;0,D48=0),"Zero emission factor - check DB_Master",""))</f>
        <v/>
      </c>
    </row>
    <row r="49" ht="15" customHeight="1" s="33">
      <c r="A49" s="51" t="inlineStr">
        <is>
          <t>Plastic Packaging Procurement</t>
        </is>
      </c>
      <c r="B49" s="52" t="n">
        <v>0</v>
      </c>
      <c r="C49" s="51" t="inlineStr">
        <is>
          <t>kg</t>
        </is>
      </c>
      <c r="D49" s="51" t="n">
        <v>2.5</v>
      </c>
      <c r="E49" s="52" t="inlineStr">
        <is>
          <t>Not Yet Assessed</t>
        </is>
      </c>
      <c r="F49" s="51">
        <f>IF(B49=0,0,(B49*2.5)/1000)</f>
        <v/>
      </c>
      <c r="G49" s="53">
        <f>IF(AND(B49&gt;0,E49="Not Yet Assessed"),"Quantity entered but Data Quality not assessed",IF(AND(B49&gt;0,D49=0),"Zero emission factor - check DB_Master",""))</f>
        <v/>
      </c>
    </row>
    <row r="50" ht="15" customHeight="1" s="33">
      <c r="A50" s="51" t="inlineStr">
        <is>
          <t>Construction Steel Procurement</t>
        </is>
      </c>
      <c r="B50" s="52" t="n">
        <v>0</v>
      </c>
      <c r="C50" s="51" t="inlineStr">
        <is>
          <t>kg</t>
        </is>
      </c>
      <c r="D50" s="51" t="n">
        <v>2.33</v>
      </c>
      <c r="E50" s="52" t="inlineStr">
        <is>
          <t>Not Yet Assessed</t>
        </is>
      </c>
      <c r="F50" s="51">
        <f>IF(B50=0,0,(B50*2.33)/1000)</f>
        <v/>
      </c>
      <c r="G50" s="53">
        <f>IF(AND(B50&gt;0,E50="Not Yet Assessed"),"Quantity entered but Data Quality not assessed",IF(AND(B50&gt;0,D50=0),"Zero emission factor - check DB_Master",""))</f>
        <v/>
      </c>
    </row>
    <row r="51" ht="15" customHeight="1" s="33">
      <c r="A51" s="51" t="inlineStr">
        <is>
          <t>Cement Procurement</t>
        </is>
      </c>
      <c r="B51" s="52" t="n">
        <v>0</v>
      </c>
      <c r="C51" s="51" t="inlineStr">
        <is>
          <t>kg</t>
        </is>
      </c>
      <c r="D51" s="51" t="n">
        <v>0.9</v>
      </c>
      <c r="E51" s="52" t="inlineStr">
        <is>
          <t>Not Yet Assessed</t>
        </is>
      </c>
      <c r="F51" s="51">
        <f>IF(B51=0,0,(B51*0.9)/1000)</f>
        <v/>
      </c>
      <c r="G51" s="53">
        <f>IF(AND(B51&gt;0,E51="Not Yet Assessed"),"Quantity entered but Data Quality not assessed",IF(AND(B51&gt;0,D51=0),"Zero emission factor - check DB_Master",""))</f>
        <v/>
      </c>
    </row>
    <row r="52" ht="18" customHeight="1" s="33">
      <c r="A52" s="56" t="inlineStr">
        <is>
          <t>Category 2: Capital Goods</t>
        </is>
      </c>
      <c r="B52" s="57" t="n"/>
      <c r="C52" s="57" t="n"/>
      <c r="D52" s="57" t="n"/>
      <c r="E52" s="57" t="n"/>
      <c r="F52" s="57" t="n"/>
      <c r="G52" s="58" t="n"/>
    </row>
    <row r="53" ht="15" customHeight="1" s="33">
      <c r="A53" s="51" t="inlineStr">
        <is>
          <t>Laptops Purchased</t>
        </is>
      </c>
      <c r="B53" s="52" t="n">
        <v>0</v>
      </c>
      <c r="C53" s="51" t="inlineStr">
        <is>
          <t>Units</t>
        </is>
      </c>
      <c r="D53" s="51" t="n">
        <v>250</v>
      </c>
      <c r="E53" s="52" t="inlineStr">
        <is>
          <t>Not Yet Assessed</t>
        </is>
      </c>
      <c r="F53" s="51">
        <f>IF(B53=0,0,(B53*250.0)/1000)</f>
        <v/>
      </c>
      <c r="G53" s="53">
        <f>IF(AND(B53&gt;0,E53="Not Yet Assessed"),"Quantity entered but Data Quality not assessed",IF(AND(B53&gt;0,D53=0),"Zero emission factor - check DB_Master",""))</f>
        <v/>
      </c>
    </row>
    <row r="54" ht="15" customHeight="1" s="33">
      <c r="A54" s="51" t="inlineStr">
        <is>
          <t>Desktops Purchased</t>
        </is>
      </c>
      <c r="B54" s="52" t="n">
        <v>0</v>
      </c>
      <c r="C54" s="51" t="inlineStr">
        <is>
          <t>Units</t>
        </is>
      </c>
      <c r="D54" s="51" t="n">
        <v>350</v>
      </c>
      <c r="E54" s="52" t="inlineStr">
        <is>
          <t>Not Yet Assessed</t>
        </is>
      </c>
      <c r="F54" s="51">
        <f>IF(B54=0,0,(B54*350.0)/1000)</f>
        <v/>
      </c>
      <c r="G54" s="53">
        <f>IF(AND(B54&gt;0,E54="Not Yet Assessed"),"Quantity entered but Data Quality not assessed",IF(AND(B54&gt;0,D54=0),"Zero emission factor - check DB_Master",""))</f>
        <v/>
      </c>
    </row>
    <row r="55" ht="15" customHeight="1" s="33">
      <c r="A55" s="51" t="inlineStr">
        <is>
          <t>Smartphones Purchased</t>
        </is>
      </c>
      <c r="B55" s="52" t="n">
        <v>0</v>
      </c>
      <c r="C55" s="51" t="inlineStr">
        <is>
          <t>Units</t>
        </is>
      </c>
      <c r="D55" s="51" t="n">
        <v>65</v>
      </c>
      <c r="E55" s="52" t="inlineStr">
        <is>
          <t>Not Yet Assessed</t>
        </is>
      </c>
      <c r="F55" s="51">
        <f>IF(B55=0,0,(B55*65.0)/1000)</f>
        <v/>
      </c>
      <c r="G55" s="53">
        <f>IF(AND(B55&gt;0,E55="Not Yet Assessed"),"Quantity entered but Data Quality not assessed",IF(AND(B55&gt;0,D55=0),"Zero emission factor - check DB_Master",""))</f>
        <v/>
      </c>
    </row>
    <row r="56" ht="15" customHeight="1" s="33">
      <c r="A56" s="51" t="inlineStr">
        <is>
          <t>Office Furniture Purchased</t>
        </is>
      </c>
      <c r="B56" s="52" t="n">
        <v>0</v>
      </c>
      <c r="C56" s="51" t="inlineStr">
        <is>
          <t>kg</t>
        </is>
      </c>
      <c r="D56" s="51" t="n">
        <v>3.5</v>
      </c>
      <c r="E56" s="52" t="inlineStr">
        <is>
          <t>Not Yet Assessed</t>
        </is>
      </c>
      <c r="F56" s="51">
        <f>IF(B56=0,0,(B56*3.5)/1000)</f>
        <v/>
      </c>
      <c r="G56" s="53">
        <f>IF(AND(B56&gt;0,E56="Not Yet Assessed"),"Quantity entered but Data Quality not assessed",IF(AND(B56&gt;0,D56=0),"Zero emission factor - check DB_Master",""))</f>
        <v/>
      </c>
    </row>
    <row r="57" ht="18" customHeight="1" s="33">
      <c r="A57" s="56" t="inlineStr">
        <is>
          <t>Category 3: Fuel- and Energy-Related Activities (not in Scope 1/2)</t>
        </is>
      </c>
      <c r="B57" s="57" t="n"/>
      <c r="C57" s="57" t="n"/>
      <c r="D57" s="57" t="n"/>
      <c r="E57" s="57" t="n"/>
      <c r="F57" s="57" t="n"/>
      <c r="G57" s="58" t="n"/>
    </row>
    <row r="58" ht="15" customHeight="1" s="33">
      <c r="A58" s="51" t="inlineStr">
        <is>
          <t>Well-to-Tank: Diesel</t>
        </is>
      </c>
      <c r="B58" s="52" t="n">
        <v>0</v>
      </c>
      <c r="C58" s="51" t="inlineStr">
        <is>
          <t>Liters</t>
        </is>
      </c>
      <c r="D58" s="51" t="n">
        <v>0.5835</v>
      </c>
      <c r="E58" s="52" t="inlineStr">
        <is>
          <t>Not Yet Assessed</t>
        </is>
      </c>
      <c r="F58" s="51">
        <f>IF(B58=0,0,(B58*0.5835)/1000)</f>
        <v/>
      </c>
      <c r="G58" s="53">
        <f>IF(AND(B58&gt;0,E58="Not Yet Assessed"),"Quantity entered but Data Quality not assessed",IF(AND(B58&gt;0,D58=0),"Zero emission factor - check DB_Master",""))</f>
        <v/>
      </c>
    </row>
    <row r="59" ht="15" customHeight="1" s="33">
      <c r="A59" s="51" t="inlineStr">
        <is>
          <t>Well-to-Tank: Petrol</t>
        </is>
      </c>
      <c r="B59" s="52" t="n">
        <v>0</v>
      </c>
      <c r="C59" s="51" t="inlineStr">
        <is>
          <t>Liters</t>
        </is>
      </c>
      <c r="D59" s="51" t="n">
        <v>0.4628</v>
      </c>
      <c r="E59" s="52" t="inlineStr">
        <is>
          <t>Not Yet Assessed</t>
        </is>
      </c>
      <c r="F59" s="51">
        <f>IF(B59=0,0,(B59*0.4628)/1000)</f>
        <v/>
      </c>
      <c r="G59" s="53">
        <f>IF(AND(B59&gt;0,E59="Not Yet Assessed"),"Quantity entered but Data Quality not assessed",IF(AND(B59&gt;0,D59=0),"Zero emission factor - check DB_Master",""))</f>
        <v/>
      </c>
    </row>
    <row r="60" ht="15" customHeight="1" s="33">
      <c r="A60" s="51" t="inlineStr">
        <is>
          <t>Grid T&amp;D Losses</t>
        </is>
      </c>
      <c r="B60" s="52" t="n">
        <v>0</v>
      </c>
      <c r="C60" s="51" t="inlineStr">
        <is>
          <t>kWh</t>
        </is>
      </c>
      <c r="D60" s="51" t="n">
        <v>0.1459</v>
      </c>
      <c r="E60" s="52" t="inlineStr">
        <is>
          <t>Not Yet Assessed</t>
        </is>
      </c>
      <c r="F60" s="51">
        <f>IF(B60=0,0,(B60*0.1459)/1000)</f>
        <v/>
      </c>
      <c r="G60" s="53">
        <f>IF(AND(B60&gt;0,E60="Not Yet Assessed"),"Quantity entered but Data Quality not assessed",IF(AND(B60&gt;0,D60=0),"Zero emission factor - check DB_Master",""))</f>
        <v/>
      </c>
    </row>
    <row r="61" ht="18" customHeight="1" s="33">
      <c r="A61" s="56" t="inlineStr">
        <is>
          <t>Category 4: Upstream Transportation &amp; Distribution</t>
        </is>
      </c>
      <c r="B61" s="57" t="n"/>
      <c r="C61" s="57" t="n"/>
      <c r="D61" s="57" t="n"/>
      <c r="E61" s="57" t="n"/>
      <c r="F61" s="57" t="n"/>
      <c r="G61" s="58" t="n"/>
    </row>
    <row r="62" ht="15" customHeight="1" s="33">
      <c r="A62" s="51" t="inlineStr">
        <is>
          <t>Inbound Trucking (Diesel, tonne-km)</t>
        </is>
      </c>
      <c r="B62" s="52" t="n">
        <v>0</v>
      </c>
      <c r="C62" s="51" t="inlineStr">
        <is>
          <t>tonne-km</t>
        </is>
      </c>
      <c r="D62" s="51" t="n">
        <v>0.09</v>
      </c>
      <c r="E62" s="52" t="inlineStr">
        <is>
          <t>Not Yet Assessed</t>
        </is>
      </c>
      <c r="F62" s="51">
        <f>IF(B62=0,0,(B62*0.09)/1000)</f>
        <v/>
      </c>
      <c r="G62" s="53">
        <f>IF(AND(B62&gt;0,E62="Not Yet Assessed"),"Quantity entered but Data Quality not assessed",IF(AND(B62&gt;0,D62=0),"Zero emission factor - check DB_Master",""))</f>
        <v/>
      </c>
    </row>
    <row r="63" ht="15" customHeight="1" s="33">
      <c r="A63" s="51" t="inlineStr">
        <is>
          <t>Inbound LCV Delivery</t>
        </is>
      </c>
      <c r="B63" s="52" t="n">
        <v>0</v>
      </c>
      <c r="C63" s="51" t="inlineStr">
        <is>
          <t>km</t>
        </is>
      </c>
      <c r="D63" s="51" t="n">
        <v>0.45</v>
      </c>
      <c r="E63" s="52" t="inlineStr">
        <is>
          <t>Not Yet Assessed</t>
        </is>
      </c>
      <c r="F63" s="51">
        <f>IF(B63=0,0,(B63*0.45)/1000)</f>
        <v/>
      </c>
      <c r="G63" s="53">
        <f>IF(AND(B63&gt;0,E63="Not Yet Assessed"),"Quantity entered but Data Quality not assessed",IF(AND(B63&gt;0,D63=0),"Zero emission factor - check DB_Master",""))</f>
        <v/>
      </c>
    </row>
    <row r="64" ht="15" customHeight="1" s="33">
      <c r="A64" s="51" t="inlineStr">
        <is>
          <t>Inbound HGV Delivery</t>
        </is>
      </c>
      <c r="B64" s="52" t="n">
        <v>0</v>
      </c>
      <c r="C64" s="51" t="inlineStr">
        <is>
          <t>km</t>
        </is>
      </c>
      <c r="D64" s="51" t="n">
        <v>0.85</v>
      </c>
      <c r="E64" s="52" t="inlineStr">
        <is>
          <t>Not Yet Assessed</t>
        </is>
      </c>
      <c r="F64" s="51">
        <f>IF(B64=0,0,(B64*0.85)/1000)</f>
        <v/>
      </c>
      <c r="G64" s="53">
        <f>IF(AND(B64&gt;0,E64="Not Yet Assessed"),"Quantity entered but Data Quality not assessed",IF(AND(B64&gt;0,D64=0),"Zero emission factor - check DB_Master",""))</f>
        <v/>
      </c>
    </row>
    <row r="65" ht="15" customHeight="1" s="33">
      <c r="A65" s="51" t="inlineStr">
        <is>
          <t>Inbound Rail Freight</t>
        </is>
      </c>
      <c r="B65" s="52" t="n">
        <v>0</v>
      </c>
      <c r="C65" s="51" t="inlineStr">
        <is>
          <t>tonne-km</t>
        </is>
      </c>
      <c r="D65" s="51" t="n">
        <v>0.015</v>
      </c>
      <c r="E65" s="52" t="inlineStr">
        <is>
          <t>Not Yet Assessed</t>
        </is>
      </c>
      <c r="F65" s="51">
        <f>IF(B65=0,0,(B65*0.015)/1000)</f>
        <v/>
      </c>
      <c r="G65" s="53">
        <f>IF(AND(B65&gt;0,E65="Not Yet Assessed"),"Quantity entered but Data Quality not assessed",IF(AND(B65&gt;0,D65=0),"Zero emission factor - check DB_Master",""))</f>
        <v/>
      </c>
    </row>
    <row r="66" ht="15" customHeight="1" s="33">
      <c r="A66" s="51" t="inlineStr">
        <is>
          <t>Inbound Air Freight</t>
        </is>
      </c>
      <c r="B66" s="52" t="n">
        <v>0</v>
      </c>
      <c r="C66" s="51" t="inlineStr">
        <is>
          <t>tonne-km</t>
        </is>
      </c>
      <c r="D66" s="51" t="n">
        <v>1.58</v>
      </c>
      <c r="E66" s="52" t="inlineStr">
        <is>
          <t>Not Yet Assessed</t>
        </is>
      </c>
      <c r="F66" s="51">
        <f>IF(B66=0,0,(B66*1.58)/1000)</f>
        <v/>
      </c>
      <c r="G66" s="53">
        <f>IF(AND(B66&gt;0,E66="Not Yet Assessed"),"Quantity entered but Data Quality not assessed",IF(AND(B66&gt;0,D66=0),"Zero emission factor - check DB_Master",""))</f>
        <v/>
      </c>
    </row>
    <row r="67" ht="18" customHeight="1" s="33">
      <c r="A67" s="56" t="inlineStr">
        <is>
          <t>Category 5: Waste Generated in Operations</t>
        </is>
      </c>
      <c r="B67" s="57" t="n"/>
      <c r="C67" s="57" t="n"/>
      <c r="D67" s="57" t="n"/>
      <c r="E67" s="57" t="n"/>
      <c r="F67" s="57" t="n"/>
      <c r="G67" s="58" t="n"/>
    </row>
    <row r="68" ht="15" customHeight="1" s="33">
      <c r="A68" s="51" t="inlineStr">
        <is>
          <t>Waste to Landfill</t>
        </is>
      </c>
      <c r="B68" s="52" t="n">
        <v>0</v>
      </c>
      <c r="C68" s="51" t="inlineStr">
        <is>
          <t>kg</t>
        </is>
      </c>
      <c r="D68" s="51" t="n">
        <v>0.85</v>
      </c>
      <c r="E68" s="52" t="inlineStr">
        <is>
          <t>Not Yet Assessed</t>
        </is>
      </c>
      <c r="F68" s="51">
        <f>IF(B68=0,0,(B68*0.85)/1000)</f>
        <v/>
      </c>
      <c r="G68" s="53">
        <f>IF(AND(B68&gt;0,E68="Not Yet Assessed"),"Quantity entered but Data Quality not assessed",IF(AND(B68&gt;0,D68=0),"Zero emission factor - check DB_Master",""))</f>
        <v/>
      </c>
    </row>
    <row r="69" ht="15" customHeight="1" s="33">
      <c r="A69" s="51" t="inlineStr">
        <is>
          <t>Waste Recycled</t>
        </is>
      </c>
      <c r="B69" s="52" t="n">
        <v>0</v>
      </c>
      <c r="C69" s="51" t="inlineStr">
        <is>
          <t>kg</t>
        </is>
      </c>
      <c r="D69" s="51" t="n">
        <v>0.021</v>
      </c>
      <c r="E69" s="52" t="inlineStr">
        <is>
          <t>Not Yet Assessed</t>
        </is>
      </c>
      <c r="F69" s="51">
        <f>IF(B69=0,0,(B69*0.021)/1000)</f>
        <v/>
      </c>
      <c r="G69" s="53">
        <f>IF(AND(B69&gt;0,E69="Not Yet Assessed"),"Quantity entered but Data Quality not assessed",IF(AND(B69&gt;0,D69=0),"Zero emission factor - check DB_Master",""))</f>
        <v/>
      </c>
    </row>
    <row r="70" ht="15" customHeight="1" s="33">
      <c r="A70" s="51" t="inlineStr">
        <is>
          <t>Waste Incinerated</t>
        </is>
      </c>
      <c r="B70" s="52" t="n">
        <v>0</v>
      </c>
      <c r="C70" s="51" t="inlineStr">
        <is>
          <t>kg</t>
        </is>
      </c>
      <c r="D70" s="51" t="n">
        <v>0.4</v>
      </c>
      <c r="E70" s="52" t="inlineStr">
        <is>
          <t>Not Yet Assessed</t>
        </is>
      </c>
      <c r="F70" s="51">
        <f>IF(B70=0,0,(B70*0.4)/1000)</f>
        <v/>
      </c>
      <c r="G70" s="53">
        <f>IF(AND(B70&gt;0,E70="Not Yet Assessed"),"Quantity entered but Data Quality not assessed",IF(AND(B70&gt;0,D70=0),"Zero emission factor - check DB_Master",""))</f>
        <v/>
      </c>
    </row>
    <row r="71" ht="15" customHeight="1" s="33">
      <c r="A71" s="51" t="inlineStr">
        <is>
          <t>Wastewater Treated</t>
        </is>
      </c>
      <c r="B71" s="52" t="n">
        <v>0</v>
      </c>
      <c r="C71" s="51" t="inlineStr">
        <is>
          <t>m3</t>
        </is>
      </c>
      <c r="D71" s="51" t="n">
        <v>0.708</v>
      </c>
      <c r="E71" s="52" t="inlineStr">
        <is>
          <t>Not Yet Assessed</t>
        </is>
      </c>
      <c r="F71" s="51">
        <f>IF(B71=0,0,(B71*0.708)/1000)</f>
        <v/>
      </c>
      <c r="G71" s="53">
        <f>IF(AND(B71&gt;0,E71="Not Yet Assessed"),"Quantity entered but Data Quality not assessed",IF(AND(B71&gt;0,D71=0),"Zero emission factor - check DB_Master",""))</f>
        <v/>
      </c>
    </row>
    <row r="72" ht="18" customHeight="1" s="33">
      <c r="A72" s="56" t="inlineStr">
        <is>
          <t>Category 6: Business Travel</t>
        </is>
      </c>
      <c r="B72" s="57" t="n"/>
      <c r="C72" s="57" t="n"/>
      <c r="D72" s="57" t="n"/>
      <c r="E72" s="57" t="n"/>
      <c r="F72" s="57" t="n"/>
      <c r="G72" s="58" t="n"/>
    </row>
    <row r="73" ht="15" customHeight="1" s="33">
      <c r="A73" s="51" t="inlineStr">
        <is>
          <t>Domestic Flights</t>
        </is>
      </c>
      <c r="B73" s="52" t="n">
        <v>0</v>
      </c>
      <c r="C73" s="51" t="inlineStr">
        <is>
          <t>p-km</t>
        </is>
      </c>
      <c r="D73" s="51" t="n">
        <v>0.12</v>
      </c>
      <c r="E73" s="52" t="inlineStr">
        <is>
          <t>Not Yet Assessed</t>
        </is>
      </c>
      <c r="F73" s="51">
        <f>IF(B73=0,0,(B73*0.12)/1000)</f>
        <v/>
      </c>
      <c r="G73" s="53">
        <f>IF(AND(B73&gt;0,E73="Not Yet Assessed"),"Quantity entered but Data Quality not assessed",IF(AND(B73&gt;0,D73=0),"Zero emission factor - check DB_Master",""))</f>
        <v/>
      </c>
    </row>
    <row r="74" ht="15" customHeight="1" s="33">
      <c r="A74" s="51" t="inlineStr">
        <is>
          <t>International Flights</t>
        </is>
      </c>
      <c r="B74" s="52" t="n">
        <v>0</v>
      </c>
      <c r="C74" s="51" t="inlineStr">
        <is>
          <t>p-km</t>
        </is>
      </c>
      <c r="D74" s="51" t="n">
        <v>0.117</v>
      </c>
      <c r="E74" s="52" t="inlineStr">
        <is>
          <t>Not Yet Assessed</t>
        </is>
      </c>
      <c r="F74" s="51">
        <f>IF(B74=0,0,(B74*0.117)/1000)</f>
        <v/>
      </c>
      <c r="G74" s="53">
        <f>IF(AND(B74&gt;0,E74="Not Yet Assessed"),"Quantity entered but Data Quality not assessed",IF(AND(B74&gt;0,D74=0),"Zero emission factor - check DB_Master",""))</f>
        <v/>
      </c>
    </row>
    <row r="75" ht="15" customHeight="1" s="33">
      <c r="A75" s="51" t="inlineStr">
        <is>
          <t>Rail Travel</t>
        </is>
      </c>
      <c r="B75" s="52" t="n">
        <v>0</v>
      </c>
      <c r="C75" s="51" t="inlineStr">
        <is>
          <t>p-km</t>
        </is>
      </c>
      <c r="D75" s="51" t="n">
        <v>0.01</v>
      </c>
      <c r="E75" s="52" t="inlineStr">
        <is>
          <t>Not Yet Assessed</t>
        </is>
      </c>
      <c r="F75" s="51">
        <f>IF(B75=0,0,(B75*0.01)/1000)</f>
        <v/>
      </c>
      <c r="G75" s="53">
        <f>IF(AND(B75&gt;0,E75="Not Yet Assessed"),"Quantity entered but Data Quality not assessed",IF(AND(B75&gt;0,D75=0),"Zero emission factor - check DB_Master",""))</f>
        <v/>
      </c>
    </row>
    <row r="76" ht="15" customHeight="1" s="33">
      <c r="A76" s="51" t="inlineStr">
        <is>
          <t>Taxi Travel</t>
        </is>
      </c>
      <c r="B76" s="52" t="n">
        <v>0</v>
      </c>
      <c r="C76" s="51" t="inlineStr">
        <is>
          <t>km</t>
        </is>
      </c>
      <c r="D76" s="51" t="n">
        <v>0.14</v>
      </c>
      <c r="E76" s="52" t="inlineStr">
        <is>
          <t>Not Yet Assessed</t>
        </is>
      </c>
      <c r="F76" s="51">
        <f>IF(B76=0,0,(B76*0.14)/1000)</f>
        <v/>
      </c>
      <c r="G76" s="53">
        <f>IF(AND(B76&gt;0,E76="Not Yet Assessed"),"Quantity entered but Data Quality not assessed",IF(AND(B76&gt;0,D76=0),"Zero emission factor - check DB_Master",""))</f>
        <v/>
      </c>
    </row>
    <row r="77" ht="15" customHeight="1" s="33">
      <c r="A77" s="51" t="inlineStr">
        <is>
          <t>Hotel Nights - 5 Star</t>
        </is>
      </c>
      <c r="B77" s="52" t="n">
        <v>0</v>
      </c>
      <c r="C77" s="51" t="inlineStr">
        <is>
          <t>Nights</t>
        </is>
      </c>
      <c r="D77" s="51" t="n">
        <v>75.5</v>
      </c>
      <c r="E77" s="52" t="inlineStr">
        <is>
          <t>Not Yet Assessed</t>
        </is>
      </c>
      <c r="F77" s="51">
        <f>IF(B77=0,0,(B77*75.5)/1000)</f>
        <v/>
      </c>
      <c r="G77" s="53">
        <f>IF(AND(B77&gt;0,E77="Not Yet Assessed"),"Quantity entered but Data Quality not assessed",IF(AND(B77&gt;0,D77=0),"Zero emission factor - check DB_Master",""))</f>
        <v/>
      </c>
    </row>
    <row r="78" ht="15" customHeight="1" s="33">
      <c r="A78" s="51" t="inlineStr">
        <is>
          <t>Hotel Nights - Budget</t>
        </is>
      </c>
      <c r="B78" s="52" t="n">
        <v>0</v>
      </c>
      <c r="C78" s="51" t="inlineStr">
        <is>
          <t>Nights</t>
        </is>
      </c>
      <c r="D78" s="51" t="n">
        <v>25</v>
      </c>
      <c r="E78" s="52" t="inlineStr">
        <is>
          <t>Not Yet Assessed</t>
        </is>
      </c>
      <c r="F78" s="51">
        <f>IF(B78=0,0,(B78*25.0)/1000)</f>
        <v/>
      </c>
      <c r="G78" s="53">
        <f>IF(AND(B78&gt;0,E78="Not Yet Assessed"),"Quantity entered but Data Quality not assessed",IF(AND(B78&gt;0,D78=0),"Zero emission factor - check DB_Master",""))</f>
        <v/>
      </c>
    </row>
    <row r="79" ht="18" customHeight="1" s="33">
      <c r="A79" s="56" t="inlineStr">
        <is>
          <t>Category 7: Employee Commuting</t>
        </is>
      </c>
      <c r="B79" s="57" t="n"/>
      <c r="C79" s="57" t="n"/>
      <c r="D79" s="57" t="n"/>
      <c r="E79" s="57" t="n"/>
      <c r="F79" s="57" t="n"/>
      <c r="G79" s="58" t="n"/>
    </row>
    <row r="80" ht="15" customHeight="1" s="33">
      <c r="A80" s="51" t="inlineStr">
        <is>
          <t>Two-Wheeler Commute</t>
        </is>
      </c>
      <c r="B80" s="52" t="n">
        <v>0</v>
      </c>
      <c r="C80" s="51" t="inlineStr">
        <is>
          <t>km</t>
        </is>
      </c>
      <c r="D80" s="51" t="n">
        <v>0.04</v>
      </c>
      <c r="E80" s="52" t="inlineStr">
        <is>
          <t>Not Yet Assessed</t>
        </is>
      </c>
      <c r="F80" s="51">
        <f>IF(B80=0,0,(B80*0.04)/1000)</f>
        <v/>
      </c>
      <c r="G80" s="53">
        <f>IF(AND(B80&gt;0,E80="Not Yet Assessed"),"Quantity entered but Data Quality not assessed",IF(AND(B80&gt;0,D80=0),"Zero emission factor - check DB_Master",""))</f>
        <v/>
      </c>
    </row>
    <row r="81" ht="15" customHeight="1" s="33">
      <c r="A81" s="51" t="inlineStr">
        <is>
          <t>Car Commute - Small Segment</t>
        </is>
      </c>
      <c r="B81" s="52" t="n">
        <v>0</v>
      </c>
      <c r="C81" s="51" t="inlineStr">
        <is>
          <t>km</t>
        </is>
      </c>
      <c r="D81" s="51" t="n">
        <v>0.11</v>
      </c>
      <c r="E81" s="52" t="inlineStr">
        <is>
          <t>Not Yet Assessed</t>
        </is>
      </c>
      <c r="F81" s="51">
        <f>IF(B81=0,0,(B81*0.11)/1000)</f>
        <v/>
      </c>
      <c r="G81" s="53">
        <f>IF(AND(B81&gt;0,E81="Not Yet Assessed"),"Quantity entered but Data Quality not assessed",IF(AND(B81&gt;0,D81=0),"Zero emission factor - check DB_Master",""))</f>
        <v/>
      </c>
    </row>
    <row r="82" ht="15" customHeight="1" s="33">
      <c r="A82" s="51" t="inlineStr">
        <is>
          <t>Car Commute - Average</t>
        </is>
      </c>
      <c r="B82" s="52" t="n">
        <v>0</v>
      </c>
      <c r="C82" s="51" t="inlineStr">
        <is>
          <t>km</t>
        </is>
      </c>
      <c r="D82" s="51" t="n">
        <v>0.14</v>
      </c>
      <c r="E82" s="52" t="inlineStr">
        <is>
          <t>Not Yet Assessed</t>
        </is>
      </c>
      <c r="F82" s="51">
        <f>IF(B82=0,0,(B82*0.14)/1000)</f>
        <v/>
      </c>
      <c r="G82" s="53">
        <f>IF(AND(B82&gt;0,E82="Not Yet Assessed"),"Quantity entered but Data Quality not assessed",IF(AND(B82&gt;0,D82=0),"Zero emission factor - check DB_Master",""))</f>
        <v/>
      </c>
    </row>
    <row r="83" ht="15" customHeight="1" s="33">
      <c r="A83" s="51" t="inlineStr">
        <is>
          <t>Car Commute - Large Segment</t>
        </is>
      </c>
      <c r="B83" s="52" t="n">
        <v>0</v>
      </c>
      <c r="C83" s="51" t="inlineStr">
        <is>
          <t>km</t>
        </is>
      </c>
      <c r="D83" s="51" t="n">
        <v>0.17</v>
      </c>
      <c r="E83" s="52" t="inlineStr">
        <is>
          <t>Not Yet Assessed</t>
        </is>
      </c>
      <c r="F83" s="51">
        <f>IF(B83=0,0,(B83*0.17)/1000)</f>
        <v/>
      </c>
      <c r="G83" s="53">
        <f>IF(AND(B83&gt;0,E83="Not Yet Assessed"),"Quantity entered but Data Quality not assessed",IF(AND(B83&gt;0,D83=0),"Zero emission factor - check DB_Master",""))</f>
        <v/>
      </c>
    </row>
    <row r="84" ht="15" customHeight="1" s="33">
      <c r="A84" s="51" t="inlineStr">
        <is>
          <t>Bus Commute</t>
        </is>
      </c>
      <c r="B84" s="52" t="n">
        <v>0</v>
      </c>
      <c r="C84" s="51" t="inlineStr">
        <is>
          <t>p-km</t>
        </is>
      </c>
      <c r="D84" s="51" t="n">
        <v>0.03</v>
      </c>
      <c r="E84" s="52" t="inlineStr">
        <is>
          <t>Not Yet Assessed</t>
        </is>
      </c>
      <c r="F84" s="51">
        <f>IF(B84=0,0,(B84*0.03)/1000)</f>
        <v/>
      </c>
      <c r="G84" s="53">
        <f>IF(AND(B84&gt;0,E84="Not Yet Assessed"),"Quantity entered but Data Quality not assessed",IF(AND(B84&gt;0,D84=0),"Zero emission factor - check DB_Master",""))</f>
        <v/>
      </c>
    </row>
    <row r="85" ht="15" customHeight="1" s="33">
      <c r="A85" s="51" t="inlineStr">
        <is>
          <t>Metro Rail Commute</t>
        </is>
      </c>
      <c r="B85" s="52" t="n">
        <v>0</v>
      </c>
      <c r="C85" s="51" t="inlineStr">
        <is>
          <t>p-km</t>
        </is>
      </c>
      <c r="D85" s="51" t="n">
        <v>0.015</v>
      </c>
      <c r="E85" s="52" t="inlineStr">
        <is>
          <t>Not Yet Assessed</t>
        </is>
      </c>
      <c r="F85" s="51">
        <f>IF(B85=0,0,(B85*0.015)/1000)</f>
        <v/>
      </c>
      <c r="G85" s="53">
        <f>IF(AND(B85&gt;0,E85="Not Yet Assessed"),"Quantity entered but Data Quality not assessed",IF(AND(B85&gt;0,D85=0),"Zero emission factor - check DB_Master",""))</f>
        <v/>
      </c>
    </row>
    <row r="86" ht="18" customHeight="1" s="33">
      <c r="A86" s="56" t="inlineStr">
        <is>
          <t>Category 8: Upstream Leased Assets  [CAUTION: CAUTION: include only assets NOT already captured in Scope 1/2 under your Cover_Boundary consolidation approach - avoid double counting]</t>
        </is>
      </c>
      <c r="B86" s="57" t="n"/>
      <c r="C86" s="57" t="n"/>
      <c r="D86" s="57" t="n"/>
      <c r="E86" s="57" t="n"/>
      <c r="F86" s="57" t="n"/>
      <c r="G86" s="58" t="n"/>
    </row>
    <row r="87" ht="15" customHeight="1" s="33">
      <c r="A87" s="51" t="inlineStr">
        <is>
          <t>Leased Office/Warehouse Electricity</t>
        </is>
      </c>
      <c r="B87" s="52" t="n">
        <v>0</v>
      </c>
      <c r="C87" s="51" t="inlineStr">
        <is>
          <t>kWh</t>
        </is>
      </c>
      <c r="D87" s="51" t="n">
        <v>0.7314000000000001</v>
      </c>
      <c r="E87" s="52" t="inlineStr">
        <is>
          <t>Not Yet Assessed</t>
        </is>
      </c>
      <c r="F87" s="51">
        <f>IF(B87=0,0,(B87*0.7314)/1000)</f>
        <v/>
      </c>
      <c r="G87" s="53">
        <f>IF(AND(B87&gt;0,E87="Not Yet Assessed"),"Quantity entered but Data Quality not assessed",IF(AND(B87&gt;0,D87=0),"Zero emission factor - check DB_Master",""))</f>
        <v/>
      </c>
    </row>
    <row r="88" ht="15" customHeight="1" s="33">
      <c r="A88" s="51" t="inlineStr">
        <is>
          <t>Leased Facility Water Use</t>
        </is>
      </c>
      <c r="B88" s="52" t="n">
        <v>0</v>
      </c>
      <c r="C88" s="51" t="inlineStr">
        <is>
          <t>m3</t>
        </is>
      </c>
      <c r="D88" s="51" t="n">
        <v>0.31</v>
      </c>
      <c r="E88" s="52" t="inlineStr">
        <is>
          <t>Not Yet Assessed</t>
        </is>
      </c>
      <c r="F88" s="51">
        <f>IF(B88=0,0,(B88*0.31)/1000)</f>
        <v/>
      </c>
      <c r="G88" s="53">
        <f>IF(AND(B88&gt;0,E88="Not Yet Assessed"),"Quantity entered but Data Quality not assessed",IF(AND(B88&gt;0,D88=0),"Zero emission factor - check DB_Master",""))</f>
        <v/>
      </c>
    </row>
    <row r="89" ht="18" customHeight="1" s="33">
      <c r="A89" s="56" t="inlineStr">
        <is>
          <t>Category 9: Downstream Transportation &amp; Distribution</t>
        </is>
      </c>
      <c r="B89" s="57" t="n"/>
      <c r="C89" s="57" t="n"/>
      <c r="D89" s="57" t="n"/>
      <c r="E89" s="57" t="n"/>
      <c r="F89" s="57" t="n"/>
      <c r="G89" s="58" t="n"/>
    </row>
    <row r="90" ht="15" customHeight="1" s="33">
      <c r="A90" s="51" t="inlineStr">
        <is>
          <t>Outbound Trucking to Customers</t>
        </is>
      </c>
      <c r="B90" s="52" t="n">
        <v>0</v>
      </c>
      <c r="C90" s="51" t="inlineStr">
        <is>
          <t>tonne-km</t>
        </is>
      </c>
      <c r="D90" s="51" t="n">
        <v>0.09</v>
      </c>
      <c r="E90" s="52" t="inlineStr">
        <is>
          <t>Not Yet Assessed</t>
        </is>
      </c>
      <c r="F90" s="51">
        <f>IF(B90=0,0,(B90*0.09)/1000)</f>
        <v/>
      </c>
      <c r="G90" s="53">
        <f>IF(AND(B90&gt;0,E90="Not Yet Assessed"),"Quantity entered but Data Quality not assessed",IF(AND(B90&gt;0,D90=0),"Zero emission factor - check DB_Master",""))</f>
        <v/>
      </c>
    </row>
    <row r="91" ht="15" customHeight="1" s="33">
      <c r="A91" s="51" t="inlineStr">
        <is>
          <t>Outbound Air Freight to Customers</t>
        </is>
      </c>
      <c r="B91" s="52" t="n">
        <v>0</v>
      </c>
      <c r="C91" s="51" t="inlineStr">
        <is>
          <t>tonne-km</t>
        </is>
      </c>
      <c r="D91" s="51" t="n">
        <v>1.58</v>
      </c>
      <c r="E91" s="52" t="inlineStr">
        <is>
          <t>Not Yet Assessed</t>
        </is>
      </c>
      <c r="F91" s="51">
        <f>IF(B91=0,0,(B91*1.58)/1000)</f>
        <v/>
      </c>
      <c r="G91" s="53">
        <f>IF(AND(B91&gt;0,E91="Not Yet Assessed"),"Quantity entered but Data Quality not assessed",IF(AND(B91&gt;0,D91=0),"Zero emission factor - check DB_Master",""))</f>
        <v/>
      </c>
    </row>
    <row r="92" ht="15" customHeight="1" s="33">
      <c r="A92" s="51" t="inlineStr">
        <is>
          <t>Outbound Rail Distribution</t>
        </is>
      </c>
      <c r="B92" s="52" t="n">
        <v>0</v>
      </c>
      <c r="C92" s="51" t="inlineStr">
        <is>
          <t>tonne-km</t>
        </is>
      </c>
      <c r="D92" s="51" t="n">
        <v>0.015</v>
      </c>
      <c r="E92" s="52" t="inlineStr">
        <is>
          <t>Not Yet Assessed</t>
        </is>
      </c>
      <c r="F92" s="51">
        <f>IF(B92=0,0,(B92*0.015)/1000)</f>
        <v/>
      </c>
      <c r="G92" s="53">
        <f>IF(AND(B92&gt;0,E92="Not Yet Assessed"),"Quantity entered but Data Quality not assessed",IF(AND(B92&gt;0,D92=0),"Zero emission factor - check DB_Master",""))</f>
        <v/>
      </c>
    </row>
  </sheetData>
  <mergeCells count="12">
    <mergeCell ref="A89:G89"/>
    <mergeCell ref="A61:G61"/>
    <mergeCell ref="A67:G67"/>
    <mergeCell ref="A79:G79"/>
    <mergeCell ref="A57:G57"/>
    <mergeCell ref="A24:G24"/>
    <mergeCell ref="A2:G2"/>
    <mergeCell ref="A72:G72"/>
    <mergeCell ref="A52:G52"/>
    <mergeCell ref="A86:G86"/>
    <mergeCell ref="A43:G43"/>
    <mergeCell ref="A41:G41"/>
  </mergeCells>
  <dataValidations count="1">
    <dataValidation sqref="E5:E9 E11:E13 E15:E17 E19:E20 E27:E30 E35:E37 E43:E92" showDropDown="0" showInputMessage="0" showErrorMessage="0" allowBlank="0" type="list" errorStyle="stop" operator="between">
      <formula1>"Not Yet Assessed,Measured (Metered/Invoiced),Calculated (Supplier-Specific),Estimated (Industry Average),Proxy (Spend-Based)"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32" min="1" max="1"/>
    <col width="44" customWidth="1" style="32" min="2" max="2"/>
    <col width="30" customWidth="1" style="32" min="3" max="3"/>
    <col width="22" customWidth="1" style="32" min="4" max="4"/>
    <col width="46" customWidth="1" style="32" min="5" max="5"/>
  </cols>
  <sheetData>
    <row r="1" ht="15" customHeight="1" s="33">
      <c r="A1" s="44" t="inlineStr">
        <is>
          <t>#</t>
        </is>
      </c>
      <c r="B1" s="44" t="inlineStr">
        <is>
          <t>Scope 3 Category</t>
        </is>
      </c>
      <c r="C1" s="44" t="inlineStr">
        <is>
          <t>Where it's calculated</t>
        </is>
      </c>
      <c r="D1" s="44" t="inlineStr">
        <is>
          <t>Screening Decision</t>
        </is>
      </c>
      <c r="E1" s="44" t="inlineStr">
        <is>
          <t>Justification (required if Excluded / N/A)</t>
        </is>
      </c>
    </row>
    <row r="2" ht="21.75" customHeight="1" s="33">
      <c r="A2" s="45" t="n">
        <v>1</v>
      </c>
      <c r="B2" s="45" t="inlineStr">
        <is>
          <t>Category 1: Purchased Goods &amp; Services</t>
        </is>
      </c>
      <c r="C2" s="59" t="inlineStr">
        <is>
          <t>Covered in GHG_Calculator (spend + material proxies)</t>
        </is>
      </c>
      <c r="D2" s="60" t="inlineStr">
        <is>
          <t>Included</t>
        </is>
      </c>
      <c r="E2" s="60" t="n"/>
    </row>
    <row r="3" ht="15" customHeight="1" s="33">
      <c r="A3" s="45" t="n">
        <v>2</v>
      </c>
      <c r="B3" s="45" t="inlineStr">
        <is>
          <t>Category 2: Capital Goods</t>
        </is>
      </c>
      <c r="C3" s="59" t="inlineStr">
        <is>
          <t>Covered in GHG_Calculator</t>
        </is>
      </c>
      <c r="D3" s="60" t="inlineStr">
        <is>
          <t>Included</t>
        </is>
      </c>
      <c r="E3" s="60" t="n"/>
    </row>
    <row r="4" ht="23.25" customHeight="1" s="33">
      <c r="A4" s="45" t="n">
        <v>3</v>
      </c>
      <c r="B4" s="45" t="inlineStr">
        <is>
          <t>Category 3: Fuel- and Energy-Related Activities (not in Scope 1/2)</t>
        </is>
      </c>
      <c r="C4" s="59" t="inlineStr">
        <is>
          <t>Covered in GHG_Calculator</t>
        </is>
      </c>
      <c r="D4" s="60" t="inlineStr">
        <is>
          <t>Included</t>
        </is>
      </c>
      <c r="E4" s="60" t="n"/>
    </row>
    <row r="5" ht="15" customHeight="1" s="33">
      <c r="A5" s="45" t="n">
        <v>4</v>
      </c>
      <c r="B5" s="45" t="inlineStr">
        <is>
          <t>Category 4: Upstream Transportation &amp; Distribution</t>
        </is>
      </c>
      <c r="C5" s="59" t="inlineStr">
        <is>
          <t>Covered in GHG_Calculator</t>
        </is>
      </c>
      <c r="D5" s="60" t="inlineStr">
        <is>
          <t>Included</t>
        </is>
      </c>
      <c r="E5" s="60" t="n"/>
    </row>
    <row r="6" ht="15" customHeight="1" s="33">
      <c r="A6" s="45" t="n">
        <v>5</v>
      </c>
      <c r="B6" s="45" t="inlineStr">
        <is>
          <t>Category 5: Waste Generated in Operations</t>
        </is>
      </c>
      <c r="C6" s="59" t="inlineStr">
        <is>
          <t>Covered in GHG_Calculator</t>
        </is>
      </c>
      <c r="D6" s="60" t="inlineStr">
        <is>
          <t>Included</t>
        </is>
      </c>
      <c r="E6" s="60" t="n"/>
    </row>
    <row r="7" ht="15" customHeight="1" s="33">
      <c r="A7" s="45" t="n">
        <v>6</v>
      </c>
      <c r="B7" s="45" t="inlineStr">
        <is>
          <t>Category 6: Business Travel</t>
        </is>
      </c>
      <c r="C7" s="59" t="inlineStr">
        <is>
          <t>Covered in GHG_Calculator</t>
        </is>
      </c>
      <c r="D7" s="60" t="inlineStr">
        <is>
          <t>Included</t>
        </is>
      </c>
      <c r="E7" s="60" t="n"/>
    </row>
    <row r="8" ht="15" customHeight="1" s="33">
      <c r="A8" s="45" t="n">
        <v>7</v>
      </c>
      <c r="B8" s="45" t="inlineStr">
        <is>
          <t>Category 7: Employee Commuting</t>
        </is>
      </c>
      <c r="C8" s="59" t="inlineStr">
        <is>
          <t>Covered in GHG_Calculator</t>
        </is>
      </c>
      <c r="D8" s="60" t="inlineStr">
        <is>
          <t>Included</t>
        </is>
      </c>
      <c r="E8" s="60" t="n"/>
    </row>
    <row r="9" ht="15" customHeight="1" s="33">
      <c r="A9" s="45" t="n">
        <v>8</v>
      </c>
      <c r="B9" s="45" t="inlineStr">
        <is>
          <t>Category 8: Upstream Leased Assets</t>
        </is>
      </c>
      <c r="C9" s="59" t="inlineStr">
        <is>
          <t>Covered in GHG_Calculator</t>
        </is>
      </c>
      <c r="D9" s="60" t="inlineStr">
        <is>
          <t>Included</t>
        </is>
      </c>
      <c r="E9" s="60" t="n"/>
    </row>
    <row r="10" ht="15" customHeight="1" s="33">
      <c r="A10" s="45" t="n">
        <v>9</v>
      </c>
      <c r="B10" s="45" t="inlineStr">
        <is>
          <t>Category 9: Downstream Transportation &amp; Distribution</t>
        </is>
      </c>
      <c r="C10" s="59" t="inlineStr">
        <is>
          <t>Covered in GHG_Calculator</t>
        </is>
      </c>
      <c r="D10" s="60" t="inlineStr">
        <is>
          <t>Included</t>
        </is>
      </c>
      <c r="E10" s="60" t="n"/>
    </row>
    <row r="11" ht="15" customHeight="1" s="33">
      <c r="A11" s="45" t="n">
        <v>10</v>
      </c>
      <c r="B11" s="45" t="inlineStr">
        <is>
          <t>Category 10: Processing of Sold Products</t>
        </is>
      </c>
      <c r="C11" s="59" t="inlineStr">
        <is>
          <t>Scope3_Hard_Categories tab</t>
        </is>
      </c>
      <c r="D11" s="60" t="inlineStr">
        <is>
          <t>Included</t>
        </is>
      </c>
      <c r="E11" s="60" t="n"/>
    </row>
    <row r="12" ht="15" customHeight="1" s="33">
      <c r="A12" s="45" t="n">
        <v>11</v>
      </c>
      <c r="B12" s="45" t="inlineStr">
        <is>
          <t>Category 11: Use of Sold Products</t>
        </is>
      </c>
      <c r="C12" s="59" t="inlineStr">
        <is>
          <t>Scope3_Hard_Categories tab</t>
        </is>
      </c>
      <c r="D12" s="60" t="inlineStr">
        <is>
          <t>Included</t>
        </is>
      </c>
      <c r="E12" s="60" t="n"/>
    </row>
    <row r="13" ht="15" customHeight="1" s="33">
      <c r="A13" s="45" t="n">
        <v>12</v>
      </c>
      <c r="B13" s="45" t="inlineStr">
        <is>
          <t>Category 12: End-of-Life Treatment of Sold Products</t>
        </is>
      </c>
      <c r="C13" s="59" t="inlineStr">
        <is>
          <t>Scope3_Hard_Categories tab</t>
        </is>
      </c>
      <c r="D13" s="60" t="inlineStr">
        <is>
          <t>Included</t>
        </is>
      </c>
      <c r="E13" s="60" t="n"/>
    </row>
    <row r="14" ht="15" customHeight="1" s="33">
      <c r="A14" s="45" t="n">
        <v>13</v>
      </c>
      <c r="B14" s="45" t="inlineStr">
        <is>
          <t>Category 13: Downstream Leased Assets</t>
        </is>
      </c>
      <c r="C14" s="59" t="inlineStr">
        <is>
          <t>Scope3_Hard_Categories tab</t>
        </is>
      </c>
      <c r="D14" s="60" t="inlineStr">
        <is>
          <t>Included</t>
        </is>
      </c>
      <c r="E14" s="60" t="n"/>
    </row>
    <row r="15" ht="15" customHeight="1" s="33">
      <c r="A15" s="45" t="n">
        <v>14</v>
      </c>
      <c r="B15" s="45" t="inlineStr">
        <is>
          <t>Category 14: Franchises</t>
        </is>
      </c>
      <c r="C15" s="59" t="inlineStr">
        <is>
          <t>Scope3_Hard_Categories tab</t>
        </is>
      </c>
      <c r="D15" s="60" t="inlineStr">
        <is>
          <t>Included</t>
        </is>
      </c>
      <c r="E15" s="60" t="n"/>
    </row>
    <row r="16" ht="15" customHeight="1" s="33">
      <c r="A16" s="45" t="n">
        <v>15</v>
      </c>
      <c r="B16" s="45" t="inlineStr">
        <is>
          <t>Category 15: Investments</t>
        </is>
      </c>
      <c r="C16" s="59" t="inlineStr">
        <is>
          <t>Scope3_Hard_Categories tab</t>
        </is>
      </c>
      <c r="D16" s="60" t="inlineStr">
        <is>
          <t>Included</t>
        </is>
      </c>
      <c r="E16" s="60" t="n"/>
    </row>
    <row r="18" ht="31.5" customHeight="1" s="33">
      <c r="A18" s="35" t="inlineStr">
        <is>
          <t>A category can only be left out of the Dashboard total by an explicit 'Excluded' or 'Not Applicable' decision with a stated reason here — nothing is omitted silently. The Dashboard lists excluded categories with their justification alongside the total.</t>
        </is>
      </c>
    </row>
  </sheetData>
  <mergeCells count="1">
    <mergeCell ref="A18:E18"/>
  </mergeCells>
  <dataValidations count="1">
    <dataValidation sqref="D2:D16" showDropDown="0" showInputMessage="0" showErrorMessage="0" allowBlank="0" type="list" errorStyle="stop" operator="between">
      <formula1>"Included,Excluded - Immaterial,Not Applicable"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2" min="1" max="1"/>
    <col width="16" customWidth="1" style="32" min="2" max="3"/>
    <col width="26" customWidth="1" style="32" min="4" max="4"/>
  </cols>
  <sheetData>
    <row r="1" ht="15.75" customHeight="1" s="33">
      <c r="A1" s="43" t="inlineStr">
        <is>
          <t>Scope 3 Categories 10-15 — Guided Calculators</t>
        </is>
      </c>
    </row>
    <row r="2" ht="31.5" customHeight="1" s="33">
      <c r="A2" s="35" t="inlineStr">
        <is>
          <t>These categories can't be estimated from a universal emission factor — each depends on your own product or company data. Fill in the yellow input cells; results calculate live. If you don't have the data yet, go mark the category 'Excluded' in Materiality_Screening with a reason rather than leaving zeros here.</t>
        </is>
      </c>
    </row>
    <row r="4" ht="15" customHeight="1" s="33">
      <c r="A4" s="44" t="inlineStr">
        <is>
          <t>Category 10: Processing of Sold Products</t>
        </is>
      </c>
    </row>
    <row r="5" ht="15" customHeight="1" s="33">
      <c r="A5" s="49" t="inlineStr">
        <is>
          <t>Input</t>
        </is>
      </c>
      <c r="B5" s="49" t="inlineStr">
        <is>
          <t>Value</t>
        </is>
      </c>
      <c r="C5" s="49" t="inlineStr">
        <is>
          <t>Unit</t>
        </is>
      </c>
    </row>
    <row r="6" ht="15" customHeight="1" s="33">
      <c r="A6" s="32" t="inlineStr">
        <is>
          <t>Units sold requiring further processing</t>
        </is>
      </c>
      <c r="B6" s="61" t="n">
        <v>0</v>
      </c>
      <c r="C6" s="32" t="inlineStr">
        <is>
          <t>Units</t>
        </is>
      </c>
    </row>
    <row r="7" ht="15" customHeight="1" s="33">
      <c r="A7" s="32" t="inlineStr">
        <is>
          <t>Downstream processing energy per unit</t>
        </is>
      </c>
      <c r="B7" s="61" t="n">
        <v>0</v>
      </c>
      <c r="C7" s="32" t="inlineStr">
        <is>
          <t>kWh/unit</t>
        </is>
      </c>
    </row>
    <row r="8" ht="15" customHeight="1" s="33">
      <c r="A8" s="32" t="inlineStr">
        <is>
          <t>Grid emission factor (auto, from DB_Master)</t>
        </is>
      </c>
      <c r="B8" s="32">
        <f>VLOOKUP("Grid_India_CEA", DB_Master!$A:$B, 2, 0)</f>
        <v/>
      </c>
      <c r="C8" s="32" t="inlineStr">
        <is>
          <t>kgCO2e/kWh</t>
        </is>
      </c>
    </row>
    <row r="9" ht="15" customHeight="1" s="33">
      <c r="A9" s="62" t="inlineStr">
        <is>
          <t>RESULT: Category 10 (tCO2e)</t>
        </is>
      </c>
      <c r="B9" s="32">
        <f>(B6*B7*B8)/1000</f>
        <v/>
      </c>
    </row>
    <row r="11" ht="15" customHeight="1" s="33">
      <c r="A11" s="44" t="inlineStr">
        <is>
          <t>Category 11: Use of Sold Products</t>
        </is>
      </c>
    </row>
    <row r="12" ht="15" customHeight="1" s="33">
      <c r="A12" s="49" t="inlineStr">
        <is>
          <t>Input</t>
        </is>
      </c>
      <c r="B12" s="49" t="inlineStr">
        <is>
          <t>Value</t>
        </is>
      </c>
      <c r="C12" s="49" t="inlineStr">
        <is>
          <t>Unit</t>
        </is>
      </c>
    </row>
    <row r="13" ht="15" customHeight="1" s="33">
      <c r="A13" s="32" t="inlineStr">
        <is>
          <t>Units sold</t>
        </is>
      </c>
      <c r="B13" s="61" t="n">
        <v>0</v>
      </c>
      <c r="C13" s="32" t="inlineStr">
        <is>
          <t>Units</t>
        </is>
      </c>
    </row>
    <row r="14" ht="15" customHeight="1" s="33">
      <c r="A14" s="32" t="inlineStr">
        <is>
          <t>In-use energy draw per unit per year</t>
        </is>
      </c>
      <c r="B14" s="61" t="n">
        <v>0</v>
      </c>
      <c r="C14" s="32" t="inlineStr">
        <is>
          <t>kWh/unit/year</t>
        </is>
      </c>
    </row>
    <row r="15" ht="15" customHeight="1" s="33">
      <c r="A15" s="32" t="inlineStr">
        <is>
          <t>Expected product lifetime</t>
        </is>
      </c>
      <c r="B15" s="61" t="n">
        <v>0</v>
      </c>
      <c r="C15" s="32" t="inlineStr">
        <is>
          <t>Years</t>
        </is>
      </c>
    </row>
    <row r="16" ht="15" customHeight="1" s="33">
      <c r="A16" s="32" t="inlineStr">
        <is>
          <t>Grid emission factor (auto, from DB_Master)</t>
        </is>
      </c>
      <c r="B16" s="32">
        <f>VLOOKUP("Grid_India_CEA", DB_Master!$A:$B, 2, 0)</f>
        <v/>
      </c>
      <c r="C16" s="32" t="inlineStr">
        <is>
          <t>kgCO2e/kWh</t>
        </is>
      </c>
    </row>
    <row r="17" ht="15" customHeight="1" s="33">
      <c r="A17" s="62" t="inlineStr">
        <is>
          <t>RESULT: Category 11 (tCO2e)</t>
        </is>
      </c>
      <c r="B17" s="32">
        <f>(B13*B14*B15*B16)/1000</f>
        <v/>
      </c>
    </row>
    <row r="19" ht="15" customHeight="1" s="33">
      <c r="A19" s="44" t="inlineStr">
        <is>
          <t>Category 12: End-of-Life Treatment of Sold Products</t>
        </is>
      </c>
    </row>
    <row r="20" ht="15" customHeight="1" s="33">
      <c r="A20" s="49" t="inlineStr">
        <is>
          <t>Input</t>
        </is>
      </c>
      <c r="B20" s="49" t="inlineStr">
        <is>
          <t>Value</t>
        </is>
      </c>
      <c r="C20" s="49" t="inlineStr">
        <is>
          <t>Unit</t>
        </is>
      </c>
    </row>
    <row r="21" ht="15" customHeight="1" s="33">
      <c r="A21" s="32" t="inlineStr">
        <is>
          <t>Units sold</t>
        </is>
      </c>
      <c r="B21" s="61" t="n">
        <v>0</v>
      </c>
      <c r="C21" s="32" t="inlineStr">
        <is>
          <t>Units</t>
        </is>
      </c>
    </row>
    <row r="22" ht="15" customHeight="1" s="33">
      <c r="A22" s="32" t="inlineStr">
        <is>
          <t>Weight per unit</t>
        </is>
      </c>
      <c r="B22" s="61" t="n">
        <v>0</v>
      </c>
      <c r="C22" s="32" t="inlineStr">
        <is>
          <t>kg/unit</t>
        </is>
      </c>
    </row>
    <row r="23" ht="15" customHeight="1" s="33">
      <c r="A23" s="32" t="inlineStr">
        <is>
          <t>Share disposed to landfill</t>
        </is>
      </c>
      <c r="B23" s="61" t="n">
        <v>0</v>
      </c>
      <c r="C23" s="32" t="inlineStr">
        <is>
          <t>% (0-1)</t>
        </is>
      </c>
    </row>
    <row r="24" ht="15" customHeight="1" s="33">
      <c r="A24" s="32" t="inlineStr">
        <is>
          <t>Share recycled</t>
        </is>
      </c>
      <c r="B24" s="61" t="n">
        <v>0</v>
      </c>
      <c r="C24" s="32" t="inlineStr">
        <is>
          <t>% (0-1)</t>
        </is>
      </c>
    </row>
    <row r="25" ht="15" customHeight="1" s="33">
      <c r="A25" s="32" t="inlineStr">
        <is>
          <t>Share incinerated</t>
        </is>
      </c>
      <c r="B25" s="61" t="n">
        <v>0</v>
      </c>
      <c r="C25" s="32" t="inlineStr">
        <is>
          <t>% (0-1)</t>
        </is>
      </c>
    </row>
    <row r="26" ht="15" customHeight="1" s="33">
      <c r="A26" s="32" t="inlineStr">
        <is>
          <t>Check: shares must sum to 100%</t>
        </is>
      </c>
      <c r="B26" s="32">
        <f>IF(SUM(B23:B25)=1,"OK","FIX: shares do not sum to 100%")</f>
        <v/>
      </c>
    </row>
    <row r="27" ht="15" customHeight="1" s="33">
      <c r="A27" s="32" t="inlineStr">
        <is>
          <t>Landfill factor (auto, from DB_Master)</t>
        </is>
      </c>
      <c r="B27" s="32">
        <f>VLOOKUP("Waste_Landfill", DB_Master!$A:$B, 2, 0)</f>
        <v/>
      </c>
      <c r="C27" s="32" t="inlineStr">
        <is>
          <t>kgCO2e/kg</t>
        </is>
      </c>
    </row>
    <row r="28" ht="15" customHeight="1" s="33">
      <c r="A28" s="32" t="inlineStr">
        <is>
          <t>Recycling factor (auto, from DB_Master)</t>
        </is>
      </c>
      <c r="B28" s="32">
        <f>VLOOKUP("Waste_Recycle", DB_Master!$A:$B, 2, 0)</f>
        <v/>
      </c>
      <c r="C28" s="32" t="inlineStr">
        <is>
          <t>kgCO2e/kg</t>
        </is>
      </c>
    </row>
    <row r="29" ht="15" customHeight="1" s="33">
      <c r="A29" s="32" t="inlineStr">
        <is>
          <t>Incineration factor (auto, from DB_Master)</t>
        </is>
      </c>
      <c r="B29" s="32">
        <f>VLOOKUP("Waste_Incineration", DB_Master!$A:$B, 2, 0)</f>
        <v/>
      </c>
      <c r="C29" s="32" t="inlineStr">
        <is>
          <t>kgCO2e/kg</t>
        </is>
      </c>
    </row>
    <row r="30" ht="15" customHeight="1" s="33">
      <c r="A30" s="62" t="inlineStr">
        <is>
          <t>RESULT: Category 12 (tCO2e)</t>
        </is>
      </c>
      <c r="B30" s="32">
        <f>(B21*B22*(B23*B27+B24*B28+B25*B29))/1000</f>
        <v/>
      </c>
    </row>
    <row r="32" ht="15" customHeight="1" s="33">
      <c r="A32" s="44" t="inlineStr">
        <is>
          <t>Category 13: Downstream Leased Assets</t>
        </is>
      </c>
    </row>
    <row r="33" ht="15" customHeight="1" s="33">
      <c r="A33" s="49" t="inlineStr">
        <is>
          <t>Input</t>
        </is>
      </c>
      <c r="B33" s="49" t="inlineStr">
        <is>
          <t>Value</t>
        </is>
      </c>
      <c r="C33" s="49" t="inlineStr">
        <is>
          <t>Unit</t>
        </is>
      </c>
    </row>
    <row r="34" ht="15" customHeight="1" s="33">
      <c r="A34" s="32" t="inlineStr">
        <is>
          <t>Energy use of assets leased OUT to others (not already in Scope 1/2)</t>
        </is>
      </c>
      <c r="B34" s="61" t="n">
        <v>0</v>
      </c>
      <c r="C34" s="32" t="inlineStr">
        <is>
          <t>kWh</t>
        </is>
      </c>
    </row>
    <row r="35" ht="15" customHeight="1" s="33">
      <c r="A35" s="32" t="inlineStr">
        <is>
          <t>Grid emission factor (auto, from DB_Master)</t>
        </is>
      </c>
      <c r="B35" s="32">
        <f>VLOOKUP("Grid_India_CEA", DB_Master!$A:$B, 2, 0)</f>
        <v/>
      </c>
      <c r="C35" s="32" t="inlineStr">
        <is>
          <t>kgCO2e/kWh</t>
        </is>
      </c>
    </row>
    <row r="36" ht="15" customHeight="1" s="33">
      <c r="A36" s="62" t="inlineStr">
        <is>
          <t>RESULT: Category 13 (tCO2e)</t>
        </is>
      </c>
      <c r="B36" s="32">
        <f>(B34*B35)/1000</f>
        <v/>
      </c>
    </row>
    <row r="38" ht="15" customHeight="1" s="33">
      <c r="A38" s="44" t="inlineStr">
        <is>
          <t>Category 14: Franchises</t>
        </is>
      </c>
    </row>
    <row r="39" ht="15" customHeight="1" s="33">
      <c r="A39" s="49" t="inlineStr">
        <is>
          <t>Input</t>
        </is>
      </c>
      <c r="B39" s="49" t="inlineStr">
        <is>
          <t>Value</t>
        </is>
      </c>
      <c r="C39" s="49" t="inlineStr">
        <is>
          <t>Unit</t>
        </is>
      </c>
    </row>
    <row r="40" ht="15" customHeight="1" s="33">
      <c r="A40" s="32" t="inlineStr">
        <is>
          <t>Number of franchises</t>
        </is>
      </c>
      <c r="B40" s="61" t="n">
        <v>0</v>
      </c>
      <c r="C40" s="32" t="inlineStr">
        <is>
          <t>Franchises</t>
        </is>
      </c>
    </row>
    <row r="41" ht="15" customHeight="1" s="33">
      <c r="A41" s="32" t="inlineStr">
        <is>
          <t>Average emissions per franchise (company-reported or estimated)</t>
        </is>
      </c>
      <c r="B41" s="61" t="n">
        <v>0</v>
      </c>
      <c r="C41" s="32" t="inlineStr">
        <is>
          <t>tCO2e/franchise</t>
        </is>
      </c>
    </row>
    <row r="42" ht="15" customHeight="1" s="33">
      <c r="A42" s="62" t="inlineStr">
        <is>
          <t>RESULT: Category 14 (tCO2e)</t>
        </is>
      </c>
      <c r="B42" s="32">
        <f>B40*B41</f>
        <v/>
      </c>
    </row>
    <row r="44" ht="15" customHeight="1" s="33">
      <c r="A44" s="44" t="inlineStr">
        <is>
          <t>Category 15: Investments</t>
        </is>
      </c>
    </row>
    <row r="45" ht="36.75" customHeight="1" s="33">
      <c r="A45" s="49" t="inlineStr">
        <is>
          <t>Investee</t>
        </is>
      </c>
      <c r="B45" s="49" t="inlineStr">
        <is>
          <t>Investee Emissions (tCO2e)</t>
        </is>
      </c>
      <c r="C45" s="49" t="inlineStr">
        <is>
          <t>Equity Share (0-1)</t>
        </is>
      </c>
      <c r="D45" s="49" t="inlineStr">
        <is>
          <t>Attributed Emissions (tCO2e)</t>
        </is>
      </c>
    </row>
    <row r="46" ht="15" customHeight="1" s="33">
      <c r="A46" s="32" t="inlineStr">
        <is>
          <t>Investee 1</t>
        </is>
      </c>
      <c r="B46" s="61" t="n">
        <v>0</v>
      </c>
      <c r="C46" s="61" t="n">
        <v>0</v>
      </c>
      <c r="D46" s="32">
        <f>B46*C46</f>
        <v/>
      </c>
    </row>
    <row r="47" ht="15" customHeight="1" s="33">
      <c r="A47" s="32" t="inlineStr">
        <is>
          <t>Investee 2</t>
        </is>
      </c>
      <c r="B47" s="61" t="n">
        <v>0</v>
      </c>
      <c r="C47" s="61" t="n">
        <v>0</v>
      </c>
      <c r="D47" s="32">
        <f>B47*C47</f>
        <v/>
      </c>
    </row>
    <row r="48" ht="15" customHeight="1" s="33">
      <c r="A48" s="32" t="inlineStr">
        <is>
          <t>Investee 3</t>
        </is>
      </c>
      <c r="B48" s="61" t="n">
        <v>0</v>
      </c>
      <c r="C48" s="61" t="n">
        <v>0</v>
      </c>
      <c r="D48" s="32">
        <f>B48*C48</f>
        <v/>
      </c>
    </row>
    <row r="49" ht="15" customHeight="1" s="33">
      <c r="A49" s="32" t="inlineStr">
        <is>
          <t>Investee 4</t>
        </is>
      </c>
      <c r="B49" s="61" t="n">
        <v>0</v>
      </c>
      <c r="C49" s="61" t="n">
        <v>0</v>
      </c>
      <c r="D49" s="32">
        <f>B49*C49</f>
        <v/>
      </c>
    </row>
    <row r="50" ht="15" customHeight="1" s="33">
      <c r="A50" s="32" t="inlineStr">
        <is>
          <t>Investee 5</t>
        </is>
      </c>
      <c r="B50" s="61" t="n">
        <v>0</v>
      </c>
      <c r="C50" s="61" t="n">
        <v>0</v>
      </c>
      <c r="D50" s="32">
        <f>B50*C50</f>
        <v/>
      </c>
    </row>
    <row r="51" ht="15" customHeight="1" s="33">
      <c r="A51" s="62" t="inlineStr">
        <is>
          <t>RESULT: Category 15 (tCO2e)</t>
        </is>
      </c>
      <c r="B51" s="32">
        <f>SUM(D46:D50)</f>
        <v/>
      </c>
    </row>
    <row r="53" ht="15" customHeight="1" s="33">
      <c r="A53" s="63" t="inlineStr">
        <is>
          <t>SCOPE 3 CATEGORIES 10-15 TOTAL (tCO2e)</t>
        </is>
      </c>
      <c r="B53" s="55">
        <f>B9+B17+B30+B36+B42+B51</f>
        <v/>
      </c>
      <c r="C53" s="55" t="n"/>
      <c r="D53" s="55" t="n"/>
    </row>
  </sheetData>
  <mergeCells count="8">
    <mergeCell ref="A38:F38"/>
    <mergeCell ref="A2:F2"/>
    <mergeCell ref="A11:F11"/>
    <mergeCell ref="A19:F19"/>
    <mergeCell ref="A44:F44"/>
    <mergeCell ref="A1:F1"/>
    <mergeCell ref="A32:F3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3">
      <c r="A1" s="32" t="inlineStr">
        <is>
          <t>Bucket</t>
        </is>
      </c>
      <c r="B1" s="32" t="inlineStr">
        <is>
          <t>tCO2e</t>
        </is>
      </c>
    </row>
    <row r="2" ht="15" customHeight="1" s="33">
      <c r="A2" s="32" t="inlineStr">
        <is>
          <t>Scope 1</t>
        </is>
      </c>
      <c r="B2" s="32">
        <f>Dashboard!B4</f>
        <v/>
      </c>
    </row>
    <row r="3" ht="15" customHeight="1" s="33">
      <c r="A3" s="32" t="inlineStr">
        <is>
          <t>Scope 2 (Location-Based)</t>
        </is>
      </c>
      <c r="B3" s="32">
        <f>Dashboard!B5</f>
        <v/>
      </c>
    </row>
    <row r="4" ht="15" customHeight="1" s="33">
      <c r="A4" s="32" t="inlineStr">
        <is>
          <t>Scope 3 Cat 1-9</t>
        </is>
      </c>
      <c r="B4" s="32">
        <f>Dashboard!B7</f>
        <v/>
      </c>
    </row>
    <row r="5" ht="15" customHeight="1" s="33">
      <c r="A5" s="32" t="inlineStr">
        <is>
          <t>Scope 3 Cat 10-15</t>
        </is>
      </c>
      <c r="B5" s="32">
        <f>Dashboard!B8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2026-08-17T01:33:29Z</dcterms:created>
  <dcterms:modified xsi:type="dcterms:W3CDTF">2026-08-17T07:58:27Z</dcterms:modified>
  <cp:revision>4</cp:revision>
</cp:coreProperties>
</file>